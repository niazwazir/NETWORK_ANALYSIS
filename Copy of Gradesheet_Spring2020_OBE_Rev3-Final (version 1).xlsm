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ABIDMengalExamSheet\"/>
    </mc:Choice>
  </mc:AlternateContent>
  <xr:revisionPtr revIDLastSave="0" documentId="13_ncr:1_{186448F0-73A1-4D50-99A1-D7E740B00933}" xr6:coauthVersionLast="45" xr6:coauthVersionMax="45" xr10:uidLastSave="{00000000-0000-0000-0000-000000000000}"/>
  <bookViews>
    <workbookView xWindow="-120" yWindow="-120" windowWidth="29040" windowHeight="15840" tabRatio="814" firstSheet="1" activeTab="2" xr2:uid="{00000000-000D-0000-FFFF-FFFF00000000}"/>
  </bookViews>
  <sheets>
    <sheet name="Attendance" sheetId="1" state="hidden" r:id="rId1"/>
    <sheet name="Outline" sheetId="13" r:id="rId2"/>
    <sheet name="Gradesheet" sheetId="2" r:id="rId3"/>
    <sheet name="Examsheet" sheetId="6" r:id="rId4"/>
    <sheet name="Sheet1" sheetId="15" state="hidden" r:id="rId5"/>
    <sheet name="Abbreviations" sheetId="7" r:id="rId6"/>
  </sheets>
  <definedNames>
    <definedName name="_xlnm._FilterDatabase" localSheetId="0" hidden="1">Attendance!$C$7:$C$60</definedName>
    <definedName name="_xlnm._FilterDatabase" localSheetId="2" hidden="1">Gradesheet!$A$4:$BA$118</definedName>
    <definedName name="_xlnm.Print_Area" localSheetId="2">Gradesheet!$A$1:$BA$58</definedName>
    <definedName name="_xlnm.Print_Titles" localSheetId="3">Examsheet!$9:$10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8" i="2" l="1"/>
  <c r="X8" i="2"/>
  <c r="V8" i="2"/>
  <c r="AY9" i="2"/>
  <c r="C2" i="2"/>
  <c r="A13" i="2" l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I10" i="2" l="1"/>
  <c r="G10" i="2"/>
  <c r="E10" i="2"/>
  <c r="G121" i="6" l="1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 l="1"/>
  <c r="C121" i="6"/>
  <c r="E121" i="6"/>
  <c r="F121" i="6"/>
  <c r="B122" i="6"/>
  <c r="C122" i="6"/>
  <c r="E122" i="6"/>
  <c r="F122" i="6"/>
  <c r="B123" i="6"/>
  <c r="C123" i="6"/>
  <c r="E123" i="6"/>
  <c r="F123" i="6"/>
  <c r="B124" i="6"/>
  <c r="C124" i="6"/>
  <c r="E124" i="6"/>
  <c r="F124" i="6"/>
  <c r="B125" i="6"/>
  <c r="C125" i="6"/>
  <c r="E125" i="6"/>
  <c r="F125" i="6"/>
  <c r="B126" i="6"/>
  <c r="C126" i="6"/>
  <c r="E126" i="6"/>
  <c r="F126" i="6"/>
  <c r="B127" i="6"/>
  <c r="C127" i="6"/>
  <c r="E127" i="6"/>
  <c r="F127" i="6"/>
  <c r="B128" i="6"/>
  <c r="C128" i="6"/>
  <c r="E128" i="6"/>
  <c r="F128" i="6"/>
  <c r="B129" i="6"/>
  <c r="C129" i="6"/>
  <c r="E129" i="6"/>
  <c r="F129" i="6"/>
  <c r="B130" i="6"/>
  <c r="C130" i="6"/>
  <c r="E130" i="6"/>
  <c r="F130" i="6"/>
  <c r="B131" i="6"/>
  <c r="C131" i="6"/>
  <c r="E131" i="6"/>
  <c r="F131" i="6"/>
  <c r="B132" i="6"/>
  <c r="C132" i="6"/>
  <c r="E132" i="6"/>
  <c r="F132" i="6"/>
  <c r="B133" i="6"/>
  <c r="C133" i="6"/>
  <c r="E133" i="6"/>
  <c r="F133" i="6"/>
  <c r="B134" i="6"/>
  <c r="C134" i="6"/>
  <c r="E134" i="6"/>
  <c r="F134" i="6"/>
  <c r="B135" i="6"/>
  <c r="C135" i="6"/>
  <c r="E135" i="6"/>
  <c r="F135" i="6"/>
  <c r="B136" i="6"/>
  <c r="C136" i="6"/>
  <c r="E136" i="6"/>
  <c r="F136" i="6"/>
  <c r="B137" i="6"/>
  <c r="C137" i="6"/>
  <c r="E137" i="6"/>
  <c r="F137" i="6"/>
  <c r="B138" i="6"/>
  <c r="C138" i="6"/>
  <c r="E138" i="6"/>
  <c r="F138" i="6"/>
  <c r="B139" i="6"/>
  <c r="C139" i="6"/>
  <c r="E139" i="6"/>
  <c r="F139" i="6"/>
  <c r="B140" i="6"/>
  <c r="C140" i="6"/>
  <c r="E140" i="6"/>
  <c r="F140" i="6"/>
  <c r="B141" i="6"/>
  <c r="C141" i="6"/>
  <c r="E141" i="6"/>
  <c r="F141" i="6"/>
  <c r="B142" i="6"/>
  <c r="C142" i="6"/>
  <c r="E142" i="6"/>
  <c r="F142" i="6"/>
  <c r="B143" i="6"/>
  <c r="C143" i="6"/>
  <c r="E143" i="6"/>
  <c r="F143" i="6"/>
  <c r="B144" i="6"/>
  <c r="C144" i="6"/>
  <c r="E144" i="6"/>
  <c r="F144" i="6"/>
  <c r="B145" i="6"/>
  <c r="C145" i="6"/>
  <c r="E145" i="6"/>
  <c r="F145" i="6"/>
  <c r="B146" i="6"/>
  <c r="C146" i="6"/>
  <c r="E146" i="6"/>
  <c r="F146" i="6"/>
  <c r="B147" i="6"/>
  <c r="C147" i="6"/>
  <c r="E147" i="6"/>
  <c r="F147" i="6"/>
  <c r="B148" i="6"/>
  <c r="C148" i="6"/>
  <c r="E148" i="6"/>
  <c r="F148" i="6"/>
  <c r="B149" i="6"/>
  <c r="C149" i="6"/>
  <c r="E149" i="6"/>
  <c r="F149" i="6"/>
  <c r="B150" i="6"/>
  <c r="C150" i="6"/>
  <c r="E150" i="6"/>
  <c r="F150" i="6"/>
  <c r="B151" i="6"/>
  <c r="C151" i="6"/>
  <c r="E151" i="6"/>
  <c r="F151" i="6"/>
  <c r="B152" i="6"/>
  <c r="C152" i="6"/>
  <c r="E152" i="6"/>
  <c r="F152" i="6"/>
  <c r="B153" i="6"/>
  <c r="C153" i="6"/>
  <c r="E153" i="6"/>
  <c r="F153" i="6"/>
  <c r="B154" i="6"/>
  <c r="C154" i="6"/>
  <c r="E154" i="6"/>
  <c r="F154" i="6"/>
  <c r="B155" i="6"/>
  <c r="C155" i="6"/>
  <c r="E155" i="6"/>
  <c r="F155" i="6"/>
  <c r="B156" i="6"/>
  <c r="C156" i="6"/>
  <c r="E156" i="6"/>
  <c r="F156" i="6"/>
  <c r="B157" i="6"/>
  <c r="C157" i="6"/>
  <c r="E157" i="6"/>
  <c r="F157" i="6"/>
  <c r="B158" i="6"/>
  <c r="C158" i="6"/>
  <c r="E158" i="6"/>
  <c r="F158" i="6"/>
  <c r="B159" i="6"/>
  <c r="C159" i="6"/>
  <c r="E159" i="6"/>
  <c r="F159" i="6"/>
  <c r="B160" i="6"/>
  <c r="C160" i="6"/>
  <c r="E160" i="6"/>
  <c r="F160" i="6"/>
  <c r="B161" i="6"/>
  <c r="C161" i="6"/>
  <c r="E161" i="6"/>
  <c r="F161" i="6"/>
  <c r="B162" i="6"/>
  <c r="C162" i="6"/>
  <c r="E162" i="6"/>
  <c r="F162" i="6"/>
  <c r="B163" i="6"/>
  <c r="C163" i="6"/>
  <c r="E163" i="6"/>
  <c r="F163" i="6"/>
  <c r="B164" i="6"/>
  <c r="C164" i="6"/>
  <c r="E164" i="6"/>
  <c r="F164" i="6"/>
  <c r="B165" i="6"/>
  <c r="C165" i="6"/>
  <c r="E165" i="6"/>
  <c r="F165" i="6"/>
  <c r="B166" i="6"/>
  <c r="C166" i="6"/>
  <c r="E166" i="6"/>
  <c r="F166" i="6"/>
  <c r="B167" i="6"/>
  <c r="C167" i="6"/>
  <c r="E167" i="6"/>
  <c r="F167" i="6"/>
  <c r="B168" i="6"/>
  <c r="C168" i="6"/>
  <c r="E168" i="6"/>
  <c r="F168" i="6"/>
  <c r="B169" i="6"/>
  <c r="C169" i="6"/>
  <c r="E169" i="6"/>
  <c r="F169" i="6"/>
  <c r="B170" i="6"/>
  <c r="C170" i="6"/>
  <c r="E170" i="6"/>
  <c r="F170" i="6"/>
  <c r="B171" i="6"/>
  <c r="C171" i="6"/>
  <c r="E171" i="6"/>
  <c r="F171" i="6"/>
  <c r="B172" i="6"/>
  <c r="C172" i="6"/>
  <c r="E172" i="6"/>
  <c r="F172" i="6"/>
  <c r="B173" i="6"/>
  <c r="C173" i="6"/>
  <c r="E173" i="6"/>
  <c r="F173" i="6"/>
  <c r="B174" i="6"/>
  <c r="C174" i="6"/>
  <c r="E174" i="6"/>
  <c r="F174" i="6"/>
  <c r="B175" i="6"/>
  <c r="C175" i="6"/>
  <c r="E175" i="6"/>
  <c r="F175" i="6"/>
  <c r="B176" i="6"/>
  <c r="C176" i="6"/>
  <c r="E176" i="6"/>
  <c r="F176" i="6"/>
  <c r="B177" i="6"/>
  <c r="C177" i="6"/>
  <c r="E177" i="6"/>
  <c r="F177" i="6"/>
  <c r="B178" i="6"/>
  <c r="C178" i="6"/>
  <c r="E178" i="6"/>
  <c r="F178" i="6"/>
  <c r="B179" i="6"/>
  <c r="C179" i="6"/>
  <c r="E179" i="6"/>
  <c r="F179" i="6"/>
  <c r="B180" i="6"/>
  <c r="C180" i="6"/>
  <c r="E180" i="6"/>
  <c r="F180" i="6"/>
  <c r="B181" i="6"/>
  <c r="C181" i="6"/>
  <c r="E181" i="6"/>
  <c r="F181" i="6"/>
  <c r="B182" i="6"/>
  <c r="C182" i="6"/>
  <c r="E182" i="6"/>
  <c r="F182" i="6"/>
  <c r="B183" i="6"/>
  <c r="C183" i="6"/>
  <c r="E183" i="6"/>
  <c r="F183" i="6"/>
  <c r="B184" i="6"/>
  <c r="C184" i="6"/>
  <c r="E184" i="6"/>
  <c r="F184" i="6"/>
  <c r="B185" i="6"/>
  <c r="C185" i="6"/>
  <c r="E185" i="6"/>
  <c r="F185" i="6"/>
  <c r="B186" i="6"/>
  <c r="C186" i="6"/>
  <c r="E186" i="6"/>
  <c r="F186" i="6"/>
  <c r="B187" i="6"/>
  <c r="C187" i="6"/>
  <c r="E187" i="6"/>
  <c r="F187" i="6"/>
  <c r="B188" i="6"/>
  <c r="C188" i="6"/>
  <c r="E188" i="6"/>
  <c r="F188" i="6"/>
  <c r="B189" i="6"/>
  <c r="C189" i="6"/>
  <c r="E189" i="6"/>
  <c r="F189" i="6"/>
  <c r="B190" i="6"/>
  <c r="C190" i="6"/>
  <c r="E190" i="6"/>
  <c r="F190" i="6"/>
  <c r="B191" i="6"/>
  <c r="C191" i="6"/>
  <c r="E191" i="6"/>
  <c r="F191" i="6"/>
  <c r="B192" i="6"/>
  <c r="C192" i="6"/>
  <c r="E192" i="6"/>
  <c r="F192" i="6"/>
  <c r="B193" i="6"/>
  <c r="C193" i="6"/>
  <c r="E193" i="6"/>
  <c r="F193" i="6"/>
  <c r="B194" i="6"/>
  <c r="C194" i="6"/>
  <c r="E194" i="6"/>
  <c r="F194" i="6"/>
  <c r="B195" i="6"/>
  <c r="C195" i="6"/>
  <c r="E195" i="6"/>
  <c r="F195" i="6"/>
  <c r="B196" i="6"/>
  <c r="C196" i="6"/>
  <c r="E196" i="6"/>
  <c r="F196" i="6"/>
  <c r="B197" i="6"/>
  <c r="C197" i="6"/>
  <c r="E197" i="6"/>
  <c r="F197" i="6"/>
  <c r="B198" i="6"/>
  <c r="C198" i="6"/>
  <c r="E198" i="6"/>
  <c r="F198" i="6"/>
  <c r="B199" i="6"/>
  <c r="C199" i="6"/>
  <c r="E199" i="6"/>
  <c r="F199" i="6"/>
  <c r="B200" i="6"/>
  <c r="C200" i="6"/>
  <c r="E200" i="6"/>
  <c r="F200" i="6"/>
  <c r="B201" i="6"/>
  <c r="C201" i="6"/>
  <c r="E201" i="6"/>
  <c r="F201" i="6"/>
  <c r="B202" i="6"/>
  <c r="C202" i="6"/>
  <c r="E202" i="6"/>
  <c r="F202" i="6"/>
  <c r="B203" i="6"/>
  <c r="C203" i="6"/>
  <c r="E203" i="6"/>
  <c r="F203" i="6"/>
  <c r="B204" i="6"/>
  <c r="C204" i="6"/>
  <c r="E204" i="6"/>
  <c r="F204" i="6"/>
  <c r="B205" i="6"/>
  <c r="C205" i="6"/>
  <c r="E205" i="6"/>
  <c r="F205" i="6"/>
  <c r="B206" i="6"/>
  <c r="C206" i="6"/>
  <c r="E206" i="6"/>
  <c r="F206" i="6"/>
  <c r="B207" i="6"/>
  <c r="C207" i="6"/>
  <c r="E207" i="6"/>
  <c r="F207" i="6"/>
  <c r="B208" i="6"/>
  <c r="C208" i="6"/>
  <c r="E208" i="6"/>
  <c r="F208" i="6"/>
  <c r="B209" i="6"/>
  <c r="C209" i="6"/>
  <c r="E209" i="6"/>
  <c r="F209" i="6"/>
  <c r="B210" i="6"/>
  <c r="C210" i="6"/>
  <c r="E210" i="6"/>
  <c r="F210" i="6"/>
  <c r="B211" i="6"/>
  <c r="C211" i="6"/>
  <c r="E211" i="6"/>
  <c r="F211" i="6"/>
  <c r="B212" i="6"/>
  <c r="C212" i="6"/>
  <c r="E212" i="6"/>
  <c r="F212" i="6"/>
  <c r="B213" i="6"/>
  <c r="C213" i="6"/>
  <c r="E213" i="6"/>
  <c r="F213" i="6"/>
  <c r="B214" i="6"/>
  <c r="C214" i="6"/>
  <c r="E214" i="6"/>
  <c r="F214" i="6"/>
  <c r="B215" i="6"/>
  <c r="C215" i="6"/>
  <c r="E215" i="6"/>
  <c r="F215" i="6"/>
  <c r="B216" i="6"/>
  <c r="C216" i="6"/>
  <c r="E216" i="6"/>
  <c r="F216" i="6"/>
  <c r="B217" i="6"/>
  <c r="C217" i="6"/>
  <c r="E217" i="6"/>
  <c r="F217" i="6"/>
  <c r="B218" i="6"/>
  <c r="C218" i="6"/>
  <c r="E218" i="6"/>
  <c r="F218" i="6"/>
  <c r="B219" i="6"/>
  <c r="C219" i="6"/>
  <c r="E219" i="6"/>
  <c r="F219" i="6"/>
  <c r="B220" i="6"/>
  <c r="C220" i="6"/>
  <c r="E220" i="6"/>
  <c r="F220" i="6"/>
  <c r="B221" i="6"/>
  <c r="C221" i="6"/>
  <c r="E221" i="6"/>
  <c r="F221" i="6"/>
  <c r="B222" i="6"/>
  <c r="C222" i="6"/>
  <c r="E222" i="6"/>
  <c r="F222" i="6"/>
  <c r="B223" i="6"/>
  <c r="C223" i="6"/>
  <c r="E223" i="6"/>
  <c r="F223" i="6"/>
  <c r="B224" i="6"/>
  <c r="C224" i="6"/>
  <c r="E224" i="6"/>
  <c r="F224" i="6"/>
  <c r="B225" i="6"/>
  <c r="C225" i="6"/>
  <c r="E225" i="6"/>
  <c r="F225" i="6"/>
  <c r="B226" i="6"/>
  <c r="C226" i="6"/>
  <c r="E226" i="6"/>
  <c r="F226" i="6"/>
  <c r="B227" i="6"/>
  <c r="C227" i="6"/>
  <c r="E227" i="6"/>
  <c r="F227" i="6"/>
  <c r="B228" i="6"/>
  <c r="C228" i="6"/>
  <c r="E228" i="6"/>
  <c r="F228" i="6"/>
  <c r="B229" i="6"/>
  <c r="C229" i="6"/>
  <c r="E229" i="6"/>
  <c r="F229" i="6"/>
  <c r="B230" i="6"/>
  <c r="C230" i="6"/>
  <c r="E230" i="6"/>
  <c r="F230" i="6"/>
  <c r="B231" i="6"/>
  <c r="C231" i="6"/>
  <c r="E231" i="6"/>
  <c r="F231" i="6"/>
  <c r="B232" i="6"/>
  <c r="C232" i="6"/>
  <c r="E232" i="6"/>
  <c r="F232" i="6"/>
  <c r="B233" i="6"/>
  <c r="C233" i="6"/>
  <c r="E233" i="6"/>
  <c r="F233" i="6"/>
  <c r="B234" i="6"/>
  <c r="C234" i="6"/>
  <c r="E234" i="6"/>
  <c r="F234" i="6"/>
  <c r="B235" i="6"/>
  <c r="C235" i="6"/>
  <c r="E235" i="6"/>
  <c r="F235" i="6"/>
  <c r="B236" i="6"/>
  <c r="C236" i="6"/>
  <c r="E236" i="6"/>
  <c r="F236" i="6"/>
  <c r="B237" i="6"/>
  <c r="C237" i="6"/>
  <c r="E237" i="6"/>
  <c r="F237" i="6"/>
  <c r="B238" i="6"/>
  <c r="C238" i="6"/>
  <c r="E238" i="6"/>
  <c r="F238" i="6"/>
  <c r="B239" i="6"/>
  <c r="C239" i="6"/>
  <c r="E239" i="6"/>
  <c r="F239" i="6"/>
  <c r="B240" i="6"/>
  <c r="C240" i="6"/>
  <c r="E240" i="6"/>
  <c r="F240" i="6"/>
  <c r="B241" i="6"/>
  <c r="C241" i="6"/>
  <c r="E241" i="6"/>
  <c r="F241" i="6"/>
  <c r="B242" i="6"/>
  <c r="C242" i="6"/>
  <c r="E242" i="6"/>
  <c r="F242" i="6"/>
  <c r="B243" i="6"/>
  <c r="C243" i="6"/>
  <c r="E243" i="6"/>
  <c r="F243" i="6"/>
  <c r="B244" i="6"/>
  <c r="C244" i="6"/>
  <c r="E244" i="6"/>
  <c r="F244" i="6"/>
  <c r="B245" i="6"/>
  <c r="C245" i="6"/>
  <c r="E245" i="6"/>
  <c r="F245" i="6"/>
  <c r="B246" i="6"/>
  <c r="C246" i="6"/>
  <c r="E246" i="6"/>
  <c r="F246" i="6"/>
  <c r="B247" i="6"/>
  <c r="C247" i="6"/>
  <c r="E247" i="6"/>
  <c r="F247" i="6"/>
  <c r="B248" i="6"/>
  <c r="C248" i="6"/>
  <c r="E248" i="6"/>
  <c r="F248" i="6"/>
  <c r="B249" i="6"/>
  <c r="C249" i="6"/>
  <c r="E249" i="6"/>
  <c r="F249" i="6"/>
  <c r="B250" i="6"/>
  <c r="C250" i="6"/>
  <c r="E250" i="6"/>
  <c r="F250" i="6"/>
  <c r="B251" i="6"/>
  <c r="C251" i="6"/>
  <c r="E251" i="6"/>
  <c r="F251" i="6"/>
  <c r="B252" i="6"/>
  <c r="C252" i="6"/>
  <c r="E252" i="6"/>
  <c r="F252" i="6"/>
  <c r="B253" i="6"/>
  <c r="C253" i="6"/>
  <c r="E253" i="6"/>
  <c r="F253" i="6"/>
  <c r="B254" i="6"/>
  <c r="C254" i="6"/>
  <c r="E254" i="6"/>
  <c r="F254" i="6"/>
  <c r="B255" i="6"/>
  <c r="C255" i="6"/>
  <c r="E255" i="6"/>
  <c r="F255" i="6"/>
  <c r="B256" i="6"/>
  <c r="C256" i="6"/>
  <c r="E256" i="6"/>
  <c r="F256" i="6"/>
  <c r="B257" i="6"/>
  <c r="C257" i="6"/>
  <c r="E257" i="6"/>
  <c r="F257" i="6"/>
  <c r="B258" i="6"/>
  <c r="C258" i="6"/>
  <c r="E258" i="6"/>
  <c r="F258" i="6"/>
  <c r="B259" i="6"/>
  <c r="C259" i="6"/>
  <c r="E259" i="6"/>
  <c r="F259" i="6"/>
  <c r="B260" i="6"/>
  <c r="C260" i="6"/>
  <c r="E260" i="6"/>
  <c r="F260" i="6"/>
  <c r="B261" i="6"/>
  <c r="C261" i="6"/>
  <c r="E261" i="6"/>
  <c r="F261" i="6"/>
  <c r="B262" i="6"/>
  <c r="C262" i="6"/>
  <c r="E262" i="6"/>
  <c r="F262" i="6"/>
  <c r="B263" i="6"/>
  <c r="C263" i="6"/>
  <c r="E263" i="6"/>
  <c r="F263" i="6"/>
  <c r="B264" i="6"/>
  <c r="C264" i="6"/>
  <c r="E264" i="6"/>
  <c r="F264" i="6"/>
  <c r="B265" i="6"/>
  <c r="C265" i="6"/>
  <c r="E265" i="6"/>
  <c r="F265" i="6"/>
  <c r="B266" i="6"/>
  <c r="C266" i="6"/>
  <c r="E266" i="6"/>
  <c r="F266" i="6"/>
  <c r="B267" i="6"/>
  <c r="C267" i="6"/>
  <c r="E267" i="6"/>
  <c r="F267" i="6"/>
  <c r="B268" i="6"/>
  <c r="C268" i="6"/>
  <c r="E268" i="6"/>
  <c r="F268" i="6"/>
  <c r="B269" i="6"/>
  <c r="C269" i="6"/>
  <c r="E269" i="6"/>
  <c r="F269" i="6"/>
  <c r="B270" i="6"/>
  <c r="C270" i="6"/>
  <c r="E270" i="6"/>
  <c r="F270" i="6"/>
  <c r="B271" i="6"/>
  <c r="C271" i="6"/>
  <c r="E271" i="6"/>
  <c r="F271" i="6"/>
  <c r="B272" i="6"/>
  <c r="C272" i="6"/>
  <c r="E272" i="6"/>
  <c r="F272" i="6"/>
  <c r="B273" i="6"/>
  <c r="C273" i="6"/>
  <c r="E273" i="6"/>
  <c r="F273" i="6"/>
  <c r="B274" i="6"/>
  <c r="C274" i="6"/>
  <c r="E274" i="6"/>
  <c r="F274" i="6"/>
  <c r="B275" i="6"/>
  <c r="C275" i="6"/>
  <c r="E275" i="6"/>
  <c r="F275" i="6"/>
  <c r="B276" i="6"/>
  <c r="C276" i="6"/>
  <c r="E276" i="6"/>
  <c r="F276" i="6"/>
  <c r="B277" i="6"/>
  <c r="C277" i="6"/>
  <c r="E277" i="6"/>
  <c r="F277" i="6"/>
  <c r="B278" i="6"/>
  <c r="C278" i="6"/>
  <c r="E278" i="6"/>
  <c r="F278" i="6"/>
  <c r="B279" i="6"/>
  <c r="C279" i="6"/>
  <c r="E279" i="6"/>
  <c r="F279" i="6"/>
  <c r="B280" i="6"/>
  <c r="C280" i="6"/>
  <c r="E280" i="6"/>
  <c r="F280" i="6"/>
  <c r="B281" i="6"/>
  <c r="C281" i="6"/>
  <c r="E281" i="6"/>
  <c r="F281" i="6"/>
  <c r="B282" i="6"/>
  <c r="C282" i="6"/>
  <c r="E282" i="6"/>
  <c r="F282" i="6"/>
  <c r="B283" i="6"/>
  <c r="C283" i="6"/>
  <c r="E283" i="6"/>
  <c r="F283" i="6"/>
  <c r="B284" i="6"/>
  <c r="C284" i="6"/>
  <c r="E284" i="6"/>
  <c r="F284" i="6"/>
  <c r="B285" i="6"/>
  <c r="C285" i="6"/>
  <c r="E285" i="6"/>
  <c r="F285" i="6"/>
  <c r="B286" i="6"/>
  <c r="C286" i="6"/>
  <c r="E286" i="6"/>
  <c r="F286" i="6"/>
  <c r="B287" i="6"/>
  <c r="C287" i="6"/>
  <c r="E287" i="6"/>
  <c r="F287" i="6"/>
  <c r="B288" i="6"/>
  <c r="C288" i="6"/>
  <c r="E288" i="6"/>
  <c r="F288" i="6"/>
  <c r="B289" i="6"/>
  <c r="C289" i="6"/>
  <c r="E289" i="6"/>
  <c r="F289" i="6"/>
  <c r="B290" i="6"/>
  <c r="C290" i="6"/>
  <c r="E290" i="6"/>
  <c r="F290" i="6"/>
  <c r="B291" i="6"/>
  <c r="C291" i="6"/>
  <c r="E291" i="6"/>
  <c r="F291" i="6"/>
  <c r="B292" i="6"/>
  <c r="C292" i="6"/>
  <c r="E292" i="6"/>
  <c r="F292" i="6"/>
  <c r="B293" i="6"/>
  <c r="C293" i="6"/>
  <c r="E293" i="6"/>
  <c r="F293" i="6"/>
  <c r="B294" i="6"/>
  <c r="C294" i="6"/>
  <c r="E294" i="6"/>
  <c r="F294" i="6"/>
  <c r="B295" i="6"/>
  <c r="C295" i="6"/>
  <c r="E295" i="6"/>
  <c r="F295" i="6"/>
  <c r="B296" i="6"/>
  <c r="C296" i="6"/>
  <c r="E296" i="6"/>
  <c r="F296" i="6"/>
  <c r="B297" i="6"/>
  <c r="C297" i="6"/>
  <c r="E297" i="6"/>
  <c r="F297" i="6"/>
  <c r="B298" i="6"/>
  <c r="C298" i="6"/>
  <c r="E298" i="6"/>
  <c r="F298" i="6"/>
  <c r="B299" i="6"/>
  <c r="C299" i="6"/>
  <c r="E299" i="6"/>
  <c r="F299" i="6"/>
  <c r="B300" i="6"/>
  <c r="C300" i="6"/>
  <c r="E300" i="6"/>
  <c r="F300" i="6"/>
  <c r="B301" i="6"/>
  <c r="C301" i="6"/>
  <c r="E301" i="6"/>
  <c r="F301" i="6"/>
  <c r="B302" i="6"/>
  <c r="C302" i="6"/>
  <c r="E302" i="6"/>
  <c r="F302" i="6"/>
  <c r="B303" i="6"/>
  <c r="C303" i="6"/>
  <c r="E303" i="6"/>
  <c r="F303" i="6"/>
  <c r="B304" i="6"/>
  <c r="C304" i="6"/>
  <c r="E304" i="6"/>
  <c r="F304" i="6"/>
  <c r="B305" i="6"/>
  <c r="C305" i="6"/>
  <c r="E305" i="6"/>
  <c r="F305" i="6"/>
  <c r="B306" i="6"/>
  <c r="C306" i="6"/>
  <c r="E306" i="6"/>
  <c r="F306" i="6"/>
  <c r="B307" i="6"/>
  <c r="C307" i="6"/>
  <c r="E307" i="6"/>
  <c r="F307" i="6"/>
  <c r="B308" i="6"/>
  <c r="C308" i="6"/>
  <c r="E308" i="6"/>
  <c r="F308" i="6"/>
  <c r="B309" i="6"/>
  <c r="C309" i="6"/>
  <c r="E309" i="6"/>
  <c r="F309" i="6"/>
  <c r="B310" i="6"/>
  <c r="C310" i="6"/>
  <c r="E310" i="6"/>
  <c r="F310" i="6"/>
  <c r="B311" i="6"/>
  <c r="C311" i="6"/>
  <c r="E311" i="6"/>
  <c r="F311" i="6"/>
  <c r="B312" i="6"/>
  <c r="C312" i="6"/>
  <c r="E312" i="6"/>
  <c r="F312" i="6"/>
  <c r="B313" i="6"/>
  <c r="C313" i="6"/>
  <c r="E313" i="6"/>
  <c r="F313" i="6"/>
  <c r="B314" i="6"/>
  <c r="C314" i="6"/>
  <c r="E314" i="6"/>
  <c r="F314" i="6"/>
  <c r="B315" i="6"/>
  <c r="C315" i="6"/>
  <c r="E315" i="6"/>
  <c r="F315" i="6"/>
  <c r="B316" i="6"/>
  <c r="C316" i="6"/>
  <c r="E316" i="6"/>
  <c r="F316" i="6"/>
  <c r="B317" i="6"/>
  <c r="C317" i="6"/>
  <c r="E317" i="6"/>
  <c r="F317" i="6"/>
  <c r="B318" i="6"/>
  <c r="C318" i="6"/>
  <c r="E318" i="6"/>
  <c r="F318" i="6"/>
  <c r="B319" i="6"/>
  <c r="C319" i="6"/>
  <c r="E319" i="6"/>
  <c r="F319" i="6"/>
  <c r="B320" i="6"/>
  <c r="C320" i="6"/>
  <c r="E320" i="6"/>
  <c r="F320" i="6"/>
  <c r="B321" i="6"/>
  <c r="C321" i="6"/>
  <c r="E321" i="6"/>
  <c r="F321" i="6"/>
  <c r="B322" i="6"/>
  <c r="C322" i="6"/>
  <c r="E322" i="6"/>
  <c r="F322" i="6"/>
  <c r="B323" i="6"/>
  <c r="C323" i="6"/>
  <c r="E323" i="6"/>
  <c r="F323" i="6"/>
  <c r="B324" i="6"/>
  <c r="C324" i="6"/>
  <c r="E324" i="6"/>
  <c r="F324" i="6"/>
  <c r="B325" i="6"/>
  <c r="C325" i="6"/>
  <c r="E325" i="6"/>
  <c r="F325" i="6"/>
  <c r="B326" i="6"/>
  <c r="C326" i="6"/>
  <c r="E326" i="6"/>
  <c r="F326" i="6"/>
  <c r="B327" i="6"/>
  <c r="C327" i="6"/>
  <c r="E327" i="6"/>
  <c r="F327" i="6"/>
  <c r="B328" i="6"/>
  <c r="C328" i="6"/>
  <c r="E328" i="6"/>
  <c r="F328" i="6"/>
  <c r="B329" i="6"/>
  <c r="C329" i="6"/>
  <c r="E329" i="6"/>
  <c r="F329" i="6"/>
  <c r="B330" i="6"/>
  <c r="C330" i="6"/>
  <c r="E330" i="6"/>
  <c r="F330" i="6"/>
  <c r="B331" i="6"/>
  <c r="C331" i="6"/>
  <c r="E331" i="6"/>
  <c r="F331" i="6"/>
  <c r="B332" i="6"/>
  <c r="C332" i="6"/>
  <c r="E332" i="6"/>
  <c r="F332" i="6"/>
  <c r="B333" i="6"/>
  <c r="C333" i="6"/>
  <c r="E333" i="6"/>
  <c r="F333" i="6"/>
  <c r="B334" i="6"/>
  <c r="C334" i="6"/>
  <c r="E334" i="6"/>
  <c r="F334" i="6"/>
  <c r="B335" i="6"/>
  <c r="C335" i="6"/>
  <c r="E335" i="6"/>
  <c r="F335" i="6"/>
  <c r="B336" i="6"/>
  <c r="C336" i="6"/>
  <c r="E336" i="6"/>
  <c r="F336" i="6"/>
  <c r="B337" i="6"/>
  <c r="C337" i="6"/>
  <c r="E337" i="6"/>
  <c r="F337" i="6"/>
  <c r="B338" i="6"/>
  <c r="C338" i="6"/>
  <c r="E338" i="6"/>
  <c r="F338" i="6"/>
  <c r="B339" i="6"/>
  <c r="C339" i="6"/>
  <c r="E339" i="6"/>
  <c r="F339" i="6"/>
  <c r="B340" i="6"/>
  <c r="C340" i="6"/>
  <c r="E340" i="6"/>
  <c r="F340" i="6"/>
  <c r="B341" i="6"/>
  <c r="C341" i="6"/>
  <c r="E341" i="6"/>
  <c r="F341" i="6"/>
  <c r="B342" i="6"/>
  <c r="C342" i="6"/>
  <c r="E342" i="6"/>
  <c r="F342" i="6"/>
  <c r="B343" i="6"/>
  <c r="C343" i="6"/>
  <c r="E343" i="6"/>
  <c r="F343" i="6"/>
  <c r="B344" i="6"/>
  <c r="C344" i="6"/>
  <c r="E344" i="6"/>
  <c r="F344" i="6"/>
  <c r="B345" i="6"/>
  <c r="C345" i="6"/>
  <c r="E345" i="6"/>
  <c r="F345" i="6"/>
  <c r="B346" i="6"/>
  <c r="C346" i="6"/>
  <c r="E346" i="6"/>
  <c r="F346" i="6"/>
  <c r="B347" i="6"/>
  <c r="C347" i="6"/>
  <c r="E347" i="6"/>
  <c r="F347" i="6"/>
  <c r="B348" i="6"/>
  <c r="C348" i="6"/>
  <c r="E348" i="6"/>
  <c r="F348" i="6"/>
  <c r="B349" i="6"/>
  <c r="C349" i="6"/>
  <c r="E349" i="6"/>
  <c r="F349" i="6"/>
  <c r="B350" i="6"/>
  <c r="C350" i="6"/>
  <c r="E350" i="6"/>
  <c r="F350" i="6"/>
  <c r="B351" i="6"/>
  <c r="C351" i="6"/>
  <c r="E351" i="6"/>
  <c r="F351" i="6"/>
  <c r="B352" i="6"/>
  <c r="C352" i="6"/>
  <c r="E352" i="6"/>
  <c r="F352" i="6"/>
  <c r="B353" i="6"/>
  <c r="C353" i="6"/>
  <c r="E353" i="6"/>
  <c r="F353" i="6"/>
  <c r="B354" i="6"/>
  <c r="C354" i="6"/>
  <c r="E354" i="6"/>
  <c r="F354" i="6"/>
  <c r="B355" i="6"/>
  <c r="C355" i="6"/>
  <c r="E355" i="6"/>
  <c r="F355" i="6"/>
  <c r="B356" i="6"/>
  <c r="C356" i="6"/>
  <c r="E356" i="6"/>
  <c r="F356" i="6"/>
  <c r="B357" i="6"/>
  <c r="C357" i="6"/>
  <c r="E357" i="6"/>
  <c r="F357" i="6"/>
  <c r="B358" i="6"/>
  <c r="C358" i="6"/>
  <c r="E358" i="6"/>
  <c r="F358" i="6"/>
  <c r="B359" i="6"/>
  <c r="C359" i="6"/>
  <c r="E359" i="6"/>
  <c r="F359" i="6"/>
  <c r="B360" i="6"/>
  <c r="C360" i="6"/>
  <c r="E360" i="6"/>
  <c r="F360" i="6"/>
  <c r="B361" i="6"/>
  <c r="C361" i="6"/>
  <c r="E361" i="6"/>
  <c r="F361" i="6"/>
  <c r="B362" i="6"/>
  <c r="C362" i="6"/>
  <c r="E362" i="6"/>
  <c r="F362" i="6"/>
  <c r="B363" i="6"/>
  <c r="C363" i="6"/>
  <c r="E363" i="6"/>
  <c r="F363" i="6"/>
  <c r="B364" i="6"/>
  <c r="C364" i="6"/>
  <c r="E364" i="6"/>
  <c r="F364" i="6"/>
  <c r="B365" i="6"/>
  <c r="C365" i="6"/>
  <c r="E365" i="6"/>
  <c r="F365" i="6"/>
  <c r="B366" i="6"/>
  <c r="C366" i="6"/>
  <c r="E366" i="6"/>
  <c r="F366" i="6"/>
  <c r="B367" i="6"/>
  <c r="C367" i="6"/>
  <c r="E367" i="6"/>
  <c r="F367" i="6"/>
  <c r="B368" i="6"/>
  <c r="C368" i="6"/>
  <c r="E368" i="6"/>
  <c r="F368" i="6"/>
  <c r="B369" i="6"/>
  <c r="C369" i="6"/>
  <c r="E369" i="6"/>
  <c r="F369" i="6"/>
  <c r="B370" i="6"/>
  <c r="C370" i="6"/>
  <c r="E370" i="6"/>
  <c r="F370" i="6"/>
  <c r="B371" i="6"/>
  <c r="C371" i="6"/>
  <c r="E371" i="6"/>
  <c r="F371" i="6"/>
  <c r="B372" i="6"/>
  <c r="C372" i="6"/>
  <c r="E372" i="6"/>
  <c r="F372" i="6"/>
  <c r="B373" i="6"/>
  <c r="C373" i="6"/>
  <c r="E373" i="6"/>
  <c r="F373" i="6"/>
  <c r="B374" i="6"/>
  <c r="C374" i="6"/>
  <c r="E374" i="6"/>
  <c r="F374" i="6"/>
  <c r="B375" i="6"/>
  <c r="C375" i="6"/>
  <c r="E375" i="6"/>
  <c r="F375" i="6"/>
  <c r="B376" i="6"/>
  <c r="C376" i="6"/>
  <c r="E376" i="6"/>
  <c r="F376" i="6"/>
  <c r="B377" i="6"/>
  <c r="C377" i="6"/>
  <c r="E377" i="6"/>
  <c r="F377" i="6"/>
  <c r="B378" i="6"/>
  <c r="C378" i="6"/>
  <c r="E378" i="6"/>
  <c r="F378" i="6"/>
  <c r="B379" i="6"/>
  <c r="C379" i="6"/>
  <c r="E379" i="6"/>
  <c r="F379" i="6"/>
  <c r="B380" i="6"/>
  <c r="C380" i="6"/>
  <c r="E380" i="6"/>
  <c r="F380" i="6"/>
  <c r="B381" i="6"/>
  <c r="C381" i="6"/>
  <c r="E381" i="6"/>
  <c r="F381" i="6"/>
  <c r="B382" i="6"/>
  <c r="C382" i="6"/>
  <c r="E382" i="6"/>
  <c r="F382" i="6"/>
  <c r="B383" i="6"/>
  <c r="C383" i="6"/>
  <c r="E383" i="6"/>
  <c r="F383" i="6"/>
  <c r="B384" i="6"/>
  <c r="C384" i="6"/>
  <c r="E384" i="6"/>
  <c r="F384" i="6"/>
  <c r="B385" i="6"/>
  <c r="C385" i="6"/>
  <c r="E385" i="6"/>
  <c r="F385" i="6"/>
  <c r="B386" i="6"/>
  <c r="C386" i="6"/>
  <c r="E386" i="6"/>
  <c r="F386" i="6"/>
  <c r="B387" i="6"/>
  <c r="C387" i="6"/>
  <c r="E387" i="6"/>
  <c r="F387" i="6"/>
  <c r="B388" i="6"/>
  <c r="C388" i="6"/>
  <c r="E388" i="6"/>
  <c r="F388" i="6"/>
  <c r="B389" i="6"/>
  <c r="C389" i="6"/>
  <c r="E389" i="6"/>
  <c r="F389" i="6"/>
  <c r="B390" i="6"/>
  <c r="C390" i="6"/>
  <c r="E390" i="6"/>
  <c r="F390" i="6"/>
  <c r="B391" i="6"/>
  <c r="C391" i="6"/>
  <c r="E391" i="6"/>
  <c r="F391" i="6"/>
  <c r="B392" i="6"/>
  <c r="C392" i="6"/>
  <c r="E392" i="6"/>
  <c r="F392" i="6"/>
  <c r="B393" i="6"/>
  <c r="C393" i="6"/>
  <c r="E393" i="6"/>
  <c r="F393" i="6"/>
  <c r="B394" i="6"/>
  <c r="C394" i="6"/>
  <c r="E394" i="6"/>
  <c r="F394" i="6"/>
  <c r="B395" i="6"/>
  <c r="C395" i="6"/>
  <c r="E395" i="6"/>
  <c r="F395" i="6"/>
  <c r="B396" i="6"/>
  <c r="C396" i="6"/>
  <c r="E396" i="6"/>
  <c r="F396" i="6"/>
  <c r="B397" i="6"/>
  <c r="C397" i="6"/>
  <c r="E397" i="6"/>
  <c r="F397" i="6"/>
  <c r="B398" i="6"/>
  <c r="C398" i="6"/>
  <c r="E398" i="6"/>
  <c r="F398" i="6"/>
  <c r="B399" i="6"/>
  <c r="C399" i="6"/>
  <c r="E399" i="6"/>
  <c r="F399" i="6"/>
  <c r="B400" i="6"/>
  <c r="C400" i="6"/>
  <c r="E400" i="6"/>
  <c r="F400" i="6"/>
  <c r="B401" i="6"/>
  <c r="C401" i="6"/>
  <c r="E401" i="6"/>
  <c r="F401" i="6"/>
  <c r="B402" i="6"/>
  <c r="C402" i="6"/>
  <c r="E402" i="6"/>
  <c r="F402" i="6"/>
  <c r="B403" i="6"/>
  <c r="C403" i="6"/>
  <c r="E403" i="6"/>
  <c r="F403" i="6"/>
  <c r="B404" i="6"/>
  <c r="C404" i="6"/>
  <c r="E404" i="6"/>
  <c r="F404" i="6"/>
  <c r="B405" i="6"/>
  <c r="C405" i="6"/>
  <c r="E405" i="6"/>
  <c r="F405" i="6"/>
  <c r="B406" i="6"/>
  <c r="C406" i="6"/>
  <c r="E406" i="6"/>
  <c r="F406" i="6"/>
  <c r="B407" i="6"/>
  <c r="C407" i="6"/>
  <c r="E407" i="6"/>
  <c r="F407" i="6"/>
  <c r="B408" i="6"/>
  <c r="C408" i="6"/>
  <c r="E408" i="6"/>
  <c r="F408" i="6"/>
  <c r="B409" i="6"/>
  <c r="C409" i="6"/>
  <c r="E409" i="6"/>
  <c r="F409" i="6"/>
  <c r="B410" i="6"/>
  <c r="C410" i="6"/>
  <c r="E410" i="6"/>
  <c r="F410" i="6"/>
  <c r="B411" i="6"/>
  <c r="C411" i="6"/>
  <c r="E411" i="6"/>
  <c r="F411" i="6"/>
  <c r="B412" i="6"/>
  <c r="C412" i="6"/>
  <c r="E412" i="6"/>
  <c r="F412" i="6"/>
  <c r="B413" i="6"/>
  <c r="C413" i="6"/>
  <c r="E413" i="6"/>
  <c r="F413" i="6"/>
  <c r="B414" i="6"/>
  <c r="C414" i="6"/>
  <c r="E414" i="6"/>
  <c r="F414" i="6"/>
  <c r="B415" i="6"/>
  <c r="C415" i="6"/>
  <c r="E415" i="6"/>
  <c r="F415" i="6"/>
  <c r="B416" i="6"/>
  <c r="C416" i="6"/>
  <c r="E416" i="6"/>
  <c r="F416" i="6"/>
  <c r="B417" i="6"/>
  <c r="C417" i="6"/>
  <c r="E417" i="6"/>
  <c r="F417" i="6"/>
  <c r="B418" i="6"/>
  <c r="C418" i="6"/>
  <c r="E418" i="6"/>
  <c r="F418" i="6"/>
  <c r="B419" i="6"/>
  <c r="C419" i="6"/>
  <c r="E419" i="6"/>
  <c r="F419" i="6"/>
  <c r="B420" i="6"/>
  <c r="C420" i="6"/>
  <c r="E420" i="6"/>
  <c r="F420" i="6"/>
  <c r="B421" i="6"/>
  <c r="C421" i="6"/>
  <c r="E421" i="6"/>
  <c r="F421" i="6"/>
  <c r="B422" i="6"/>
  <c r="C422" i="6"/>
  <c r="E422" i="6"/>
  <c r="F422" i="6"/>
  <c r="B423" i="6"/>
  <c r="C423" i="6"/>
  <c r="E423" i="6"/>
  <c r="F423" i="6"/>
  <c r="B424" i="6"/>
  <c r="C424" i="6"/>
  <c r="E424" i="6"/>
  <c r="F424" i="6"/>
  <c r="B425" i="6"/>
  <c r="C425" i="6"/>
  <c r="E425" i="6"/>
  <c r="F425" i="6"/>
  <c r="B426" i="6"/>
  <c r="C426" i="6"/>
  <c r="E426" i="6"/>
  <c r="F426" i="6"/>
  <c r="B427" i="6"/>
  <c r="C427" i="6"/>
  <c r="E427" i="6"/>
  <c r="F427" i="6"/>
  <c r="B428" i="6"/>
  <c r="C428" i="6"/>
  <c r="E428" i="6"/>
  <c r="F428" i="6"/>
  <c r="B429" i="6"/>
  <c r="C429" i="6"/>
  <c r="E429" i="6"/>
  <c r="F429" i="6"/>
  <c r="B430" i="6"/>
  <c r="C430" i="6"/>
  <c r="E430" i="6"/>
  <c r="F430" i="6"/>
  <c r="B431" i="6"/>
  <c r="C431" i="6"/>
  <c r="E431" i="6"/>
  <c r="F431" i="6"/>
  <c r="B432" i="6"/>
  <c r="C432" i="6"/>
  <c r="E432" i="6"/>
  <c r="F432" i="6"/>
  <c r="B433" i="6"/>
  <c r="C433" i="6"/>
  <c r="E433" i="6"/>
  <c r="F433" i="6"/>
  <c r="B434" i="6"/>
  <c r="C434" i="6"/>
  <c r="E434" i="6"/>
  <c r="F434" i="6"/>
  <c r="B435" i="6"/>
  <c r="C435" i="6"/>
  <c r="E435" i="6"/>
  <c r="F435" i="6"/>
  <c r="B436" i="6"/>
  <c r="C436" i="6"/>
  <c r="E436" i="6"/>
  <c r="F436" i="6"/>
  <c r="B437" i="6"/>
  <c r="C437" i="6"/>
  <c r="E437" i="6"/>
  <c r="F437" i="6"/>
  <c r="B438" i="6"/>
  <c r="C438" i="6"/>
  <c r="E438" i="6"/>
  <c r="F438" i="6"/>
  <c r="B439" i="6"/>
  <c r="C439" i="6"/>
  <c r="E439" i="6"/>
  <c r="F439" i="6"/>
  <c r="B440" i="6"/>
  <c r="C440" i="6"/>
  <c r="E440" i="6"/>
  <c r="F440" i="6"/>
  <c r="B441" i="6"/>
  <c r="C441" i="6"/>
  <c r="E441" i="6"/>
  <c r="F441" i="6"/>
  <c r="B442" i="6"/>
  <c r="C442" i="6"/>
  <c r="E442" i="6"/>
  <c r="F442" i="6"/>
  <c r="B443" i="6"/>
  <c r="C443" i="6"/>
  <c r="E443" i="6"/>
  <c r="F443" i="6"/>
  <c r="B444" i="6"/>
  <c r="C444" i="6"/>
  <c r="E444" i="6"/>
  <c r="F444" i="6"/>
  <c r="B445" i="6"/>
  <c r="C445" i="6"/>
  <c r="E445" i="6"/>
  <c r="F445" i="6"/>
  <c r="B446" i="6"/>
  <c r="C446" i="6"/>
  <c r="E446" i="6"/>
  <c r="F446" i="6"/>
  <c r="B447" i="6"/>
  <c r="C447" i="6"/>
  <c r="E447" i="6"/>
  <c r="F447" i="6"/>
  <c r="B448" i="6"/>
  <c r="C448" i="6"/>
  <c r="E448" i="6"/>
  <c r="F448" i="6"/>
  <c r="B449" i="6"/>
  <c r="C449" i="6"/>
  <c r="E449" i="6"/>
  <c r="F449" i="6"/>
  <c r="B450" i="6"/>
  <c r="C450" i="6"/>
  <c r="E450" i="6"/>
  <c r="F450" i="6"/>
  <c r="B451" i="6"/>
  <c r="C451" i="6"/>
  <c r="E451" i="6"/>
  <c r="F451" i="6"/>
  <c r="B452" i="6"/>
  <c r="C452" i="6"/>
  <c r="E452" i="6"/>
  <c r="F452" i="6"/>
  <c r="B453" i="6"/>
  <c r="C453" i="6"/>
  <c r="E453" i="6"/>
  <c r="F453" i="6"/>
  <c r="B454" i="6"/>
  <c r="C454" i="6"/>
  <c r="E454" i="6"/>
  <c r="F454" i="6"/>
  <c r="B455" i="6"/>
  <c r="C455" i="6"/>
  <c r="E455" i="6"/>
  <c r="F455" i="6"/>
  <c r="B456" i="6"/>
  <c r="C456" i="6"/>
  <c r="E456" i="6"/>
  <c r="F456" i="6"/>
  <c r="B457" i="6"/>
  <c r="C457" i="6"/>
  <c r="E457" i="6"/>
  <c r="F457" i="6"/>
  <c r="B458" i="6"/>
  <c r="C458" i="6"/>
  <c r="E458" i="6"/>
  <c r="F458" i="6"/>
  <c r="B459" i="6"/>
  <c r="C459" i="6"/>
  <c r="E459" i="6"/>
  <c r="F459" i="6"/>
  <c r="B460" i="6"/>
  <c r="C460" i="6"/>
  <c r="E460" i="6"/>
  <c r="F460" i="6"/>
  <c r="B461" i="6"/>
  <c r="C461" i="6"/>
  <c r="E461" i="6"/>
  <c r="F461" i="6"/>
  <c r="B462" i="6"/>
  <c r="C462" i="6"/>
  <c r="E462" i="6"/>
  <c r="F462" i="6"/>
  <c r="B463" i="6"/>
  <c r="C463" i="6"/>
  <c r="E463" i="6"/>
  <c r="F463" i="6"/>
  <c r="B464" i="6"/>
  <c r="C464" i="6"/>
  <c r="E464" i="6"/>
  <c r="F464" i="6"/>
  <c r="B465" i="6"/>
  <c r="C465" i="6"/>
  <c r="E465" i="6"/>
  <c r="F465" i="6"/>
  <c r="B466" i="6"/>
  <c r="C466" i="6"/>
  <c r="E466" i="6"/>
  <c r="F466" i="6"/>
  <c r="B467" i="6"/>
  <c r="C467" i="6"/>
  <c r="E467" i="6"/>
  <c r="F467" i="6"/>
  <c r="B468" i="6"/>
  <c r="C468" i="6"/>
  <c r="E468" i="6"/>
  <c r="F468" i="6"/>
  <c r="B469" i="6"/>
  <c r="C469" i="6"/>
  <c r="E469" i="6"/>
  <c r="F469" i="6"/>
  <c r="B470" i="6"/>
  <c r="C470" i="6"/>
  <c r="E470" i="6"/>
  <c r="F470" i="6"/>
  <c r="B471" i="6"/>
  <c r="C471" i="6"/>
  <c r="E471" i="6"/>
  <c r="F471" i="6"/>
  <c r="B472" i="6"/>
  <c r="C472" i="6"/>
  <c r="E472" i="6"/>
  <c r="F472" i="6"/>
  <c r="B473" i="6"/>
  <c r="C473" i="6"/>
  <c r="E473" i="6"/>
  <c r="F473" i="6"/>
  <c r="B474" i="6"/>
  <c r="C474" i="6"/>
  <c r="E474" i="6"/>
  <c r="F474" i="6"/>
  <c r="B475" i="6"/>
  <c r="C475" i="6"/>
  <c r="E475" i="6"/>
  <c r="F475" i="6"/>
  <c r="B476" i="6"/>
  <c r="C476" i="6"/>
  <c r="E476" i="6"/>
  <c r="F476" i="6"/>
  <c r="B477" i="6"/>
  <c r="C477" i="6"/>
  <c r="E477" i="6"/>
  <c r="F477" i="6"/>
  <c r="B478" i="6"/>
  <c r="C478" i="6"/>
  <c r="E478" i="6"/>
  <c r="F478" i="6"/>
  <c r="B479" i="6"/>
  <c r="C479" i="6"/>
  <c r="E479" i="6"/>
  <c r="F479" i="6"/>
  <c r="B480" i="6"/>
  <c r="C480" i="6"/>
  <c r="E480" i="6"/>
  <c r="F480" i="6"/>
  <c r="B481" i="6"/>
  <c r="C481" i="6"/>
  <c r="E481" i="6"/>
  <c r="F481" i="6"/>
  <c r="B482" i="6"/>
  <c r="C482" i="6"/>
  <c r="E482" i="6"/>
  <c r="F482" i="6"/>
  <c r="B483" i="6"/>
  <c r="C483" i="6"/>
  <c r="E483" i="6"/>
  <c r="F483" i="6"/>
  <c r="B484" i="6"/>
  <c r="C484" i="6"/>
  <c r="E484" i="6"/>
  <c r="F484" i="6"/>
  <c r="B485" i="6"/>
  <c r="C485" i="6"/>
  <c r="E485" i="6"/>
  <c r="F485" i="6"/>
  <c r="B486" i="6"/>
  <c r="C486" i="6"/>
  <c r="E486" i="6"/>
  <c r="F486" i="6"/>
  <c r="B487" i="6"/>
  <c r="C487" i="6"/>
  <c r="E487" i="6"/>
  <c r="F487" i="6"/>
  <c r="B488" i="6"/>
  <c r="C488" i="6"/>
  <c r="E488" i="6"/>
  <c r="F488" i="6"/>
  <c r="B489" i="6"/>
  <c r="C489" i="6"/>
  <c r="E489" i="6"/>
  <c r="F489" i="6"/>
  <c r="B490" i="6"/>
  <c r="C490" i="6"/>
  <c r="E490" i="6"/>
  <c r="F490" i="6"/>
  <c r="B491" i="6"/>
  <c r="C491" i="6"/>
  <c r="E491" i="6"/>
  <c r="F491" i="6"/>
  <c r="B492" i="6"/>
  <c r="C492" i="6"/>
  <c r="E492" i="6"/>
  <c r="F492" i="6"/>
  <c r="B493" i="6"/>
  <c r="C493" i="6"/>
  <c r="E493" i="6"/>
  <c r="F493" i="6"/>
  <c r="B494" i="6"/>
  <c r="C494" i="6"/>
  <c r="E494" i="6"/>
  <c r="F494" i="6"/>
  <c r="B495" i="6"/>
  <c r="C495" i="6"/>
  <c r="E495" i="6"/>
  <c r="F495" i="6"/>
  <c r="B496" i="6"/>
  <c r="C496" i="6"/>
  <c r="E496" i="6"/>
  <c r="F496" i="6"/>
  <c r="B497" i="6"/>
  <c r="C497" i="6"/>
  <c r="E497" i="6"/>
  <c r="F497" i="6"/>
  <c r="B498" i="6"/>
  <c r="C498" i="6"/>
  <c r="E498" i="6"/>
  <c r="F498" i="6"/>
  <c r="B499" i="6"/>
  <c r="C499" i="6"/>
  <c r="E499" i="6"/>
  <c r="F499" i="6"/>
  <c r="B500" i="6"/>
  <c r="C500" i="6"/>
  <c r="E500" i="6"/>
  <c r="F500" i="6"/>
  <c r="B501" i="6"/>
  <c r="C501" i="6"/>
  <c r="E501" i="6"/>
  <c r="F501" i="6"/>
  <c r="B502" i="6"/>
  <c r="C502" i="6"/>
  <c r="E502" i="6"/>
  <c r="F502" i="6"/>
  <c r="B503" i="6"/>
  <c r="C503" i="6"/>
  <c r="E503" i="6"/>
  <c r="F503" i="6"/>
  <c r="B504" i="6"/>
  <c r="C504" i="6"/>
  <c r="E504" i="6"/>
  <c r="F504" i="6"/>
  <c r="B505" i="6"/>
  <c r="C505" i="6"/>
  <c r="E505" i="6"/>
  <c r="F505" i="6"/>
  <c r="B506" i="6"/>
  <c r="C506" i="6"/>
  <c r="E506" i="6"/>
  <c r="F506" i="6"/>
  <c r="B507" i="6"/>
  <c r="C507" i="6"/>
  <c r="E507" i="6"/>
  <c r="F507" i="6"/>
  <c r="B508" i="6"/>
  <c r="C508" i="6"/>
  <c r="E508" i="6"/>
  <c r="F508" i="6"/>
  <c r="B509" i="6"/>
  <c r="C509" i="6"/>
  <c r="E509" i="6"/>
  <c r="F509" i="6"/>
  <c r="B510" i="6"/>
  <c r="C510" i="6"/>
  <c r="E510" i="6"/>
  <c r="F510" i="6"/>
  <c r="B511" i="6"/>
  <c r="C511" i="6"/>
  <c r="E511" i="6"/>
  <c r="F511" i="6"/>
  <c r="B512" i="6"/>
  <c r="C512" i="6"/>
  <c r="E512" i="6"/>
  <c r="F512" i="6"/>
  <c r="B513" i="6"/>
  <c r="C513" i="6"/>
  <c r="E513" i="6"/>
  <c r="F513" i="6"/>
  <c r="B514" i="6"/>
  <c r="C514" i="6"/>
  <c r="E514" i="6"/>
  <c r="F514" i="6"/>
  <c r="B515" i="6"/>
  <c r="C515" i="6"/>
  <c r="E515" i="6"/>
  <c r="F515" i="6"/>
  <c r="B516" i="6"/>
  <c r="C516" i="6"/>
  <c r="E516" i="6"/>
  <c r="F516" i="6"/>
  <c r="B517" i="6"/>
  <c r="C517" i="6"/>
  <c r="E517" i="6"/>
  <c r="F517" i="6"/>
  <c r="B518" i="6"/>
  <c r="C518" i="6"/>
  <c r="E518" i="6"/>
  <c r="F518" i="6"/>
  <c r="B519" i="6"/>
  <c r="C519" i="6"/>
  <c r="E519" i="6"/>
  <c r="F519" i="6"/>
  <c r="B520" i="6"/>
  <c r="C520" i="6"/>
  <c r="E520" i="6"/>
  <c r="F520" i="6"/>
  <c r="B521" i="6"/>
  <c r="C521" i="6"/>
  <c r="E521" i="6"/>
  <c r="F521" i="6"/>
  <c r="B522" i="6"/>
  <c r="C522" i="6"/>
  <c r="E522" i="6"/>
  <c r="F522" i="6"/>
  <c r="B523" i="6"/>
  <c r="C523" i="6"/>
  <c r="E523" i="6"/>
  <c r="F523" i="6"/>
  <c r="B524" i="6"/>
  <c r="C524" i="6"/>
  <c r="E524" i="6"/>
  <c r="F524" i="6"/>
  <c r="B525" i="6"/>
  <c r="C525" i="6"/>
  <c r="E525" i="6"/>
  <c r="F525" i="6"/>
  <c r="B526" i="6"/>
  <c r="C526" i="6"/>
  <c r="E526" i="6"/>
  <c r="F526" i="6"/>
  <c r="B527" i="6"/>
  <c r="C527" i="6"/>
  <c r="E527" i="6"/>
  <c r="F527" i="6"/>
  <c r="B528" i="6"/>
  <c r="C528" i="6"/>
  <c r="E528" i="6"/>
  <c r="F528" i="6"/>
  <c r="B529" i="6"/>
  <c r="C529" i="6"/>
  <c r="E529" i="6"/>
  <c r="F529" i="6"/>
  <c r="B530" i="6"/>
  <c r="C530" i="6"/>
  <c r="E530" i="6"/>
  <c r="F530" i="6"/>
  <c r="B531" i="6"/>
  <c r="C531" i="6"/>
  <c r="E531" i="6"/>
  <c r="F531" i="6"/>
  <c r="B532" i="6"/>
  <c r="C532" i="6"/>
  <c r="E532" i="6"/>
  <c r="F532" i="6"/>
  <c r="B533" i="6"/>
  <c r="C533" i="6"/>
  <c r="E533" i="6"/>
  <c r="F533" i="6"/>
  <c r="B534" i="6"/>
  <c r="C534" i="6"/>
  <c r="E534" i="6"/>
  <c r="F534" i="6"/>
  <c r="B535" i="6"/>
  <c r="C535" i="6"/>
  <c r="E535" i="6"/>
  <c r="F535" i="6"/>
  <c r="B536" i="6"/>
  <c r="C536" i="6"/>
  <c r="E536" i="6"/>
  <c r="F536" i="6"/>
  <c r="B537" i="6"/>
  <c r="C537" i="6"/>
  <c r="E537" i="6"/>
  <c r="F537" i="6"/>
  <c r="B538" i="6"/>
  <c r="C538" i="6"/>
  <c r="E538" i="6"/>
  <c r="F538" i="6"/>
  <c r="B539" i="6"/>
  <c r="C539" i="6"/>
  <c r="E539" i="6"/>
  <c r="F539" i="6"/>
  <c r="B540" i="6"/>
  <c r="C540" i="6"/>
  <c r="E540" i="6"/>
  <c r="F540" i="6"/>
  <c r="B541" i="6"/>
  <c r="C541" i="6"/>
  <c r="E541" i="6"/>
  <c r="F541" i="6"/>
  <c r="B542" i="6"/>
  <c r="C542" i="6"/>
  <c r="E542" i="6"/>
  <c r="F542" i="6"/>
  <c r="B543" i="6"/>
  <c r="C543" i="6"/>
  <c r="E543" i="6"/>
  <c r="F543" i="6"/>
  <c r="B544" i="6"/>
  <c r="C544" i="6"/>
  <c r="E544" i="6"/>
  <c r="F544" i="6"/>
  <c r="B545" i="6"/>
  <c r="C545" i="6"/>
  <c r="E545" i="6"/>
  <c r="F545" i="6"/>
  <c r="B546" i="6"/>
  <c r="C546" i="6"/>
  <c r="E546" i="6"/>
  <c r="F546" i="6"/>
  <c r="B547" i="6"/>
  <c r="C547" i="6"/>
  <c r="E547" i="6"/>
  <c r="F547" i="6"/>
  <c r="B548" i="6"/>
  <c r="C548" i="6"/>
  <c r="E548" i="6"/>
  <c r="F548" i="6"/>
  <c r="B549" i="6"/>
  <c r="C549" i="6"/>
  <c r="E549" i="6"/>
  <c r="F549" i="6"/>
  <c r="B550" i="6"/>
  <c r="C550" i="6"/>
  <c r="E550" i="6"/>
  <c r="F550" i="6"/>
  <c r="B551" i="6"/>
  <c r="C551" i="6"/>
  <c r="E551" i="6"/>
  <c r="F551" i="6"/>
  <c r="B552" i="6"/>
  <c r="C552" i="6"/>
  <c r="E552" i="6"/>
  <c r="F552" i="6"/>
  <c r="B553" i="6"/>
  <c r="C553" i="6"/>
  <c r="E553" i="6"/>
  <c r="F553" i="6"/>
  <c r="B554" i="6"/>
  <c r="C554" i="6"/>
  <c r="E554" i="6"/>
  <c r="F554" i="6"/>
  <c r="B555" i="6"/>
  <c r="C555" i="6"/>
  <c r="E555" i="6"/>
  <c r="F555" i="6"/>
  <c r="B556" i="6"/>
  <c r="C556" i="6"/>
  <c r="E556" i="6"/>
  <c r="F556" i="6"/>
  <c r="B557" i="6"/>
  <c r="C557" i="6"/>
  <c r="E557" i="6"/>
  <c r="F557" i="6"/>
  <c r="B558" i="6"/>
  <c r="C558" i="6"/>
  <c r="E558" i="6"/>
  <c r="F558" i="6"/>
  <c r="B559" i="6"/>
  <c r="C559" i="6"/>
  <c r="E559" i="6"/>
  <c r="F559" i="6"/>
  <c r="B560" i="6"/>
  <c r="C560" i="6"/>
  <c r="E560" i="6"/>
  <c r="F560" i="6"/>
  <c r="B561" i="6"/>
  <c r="C561" i="6"/>
  <c r="E561" i="6"/>
  <c r="F561" i="6"/>
  <c r="B562" i="6"/>
  <c r="C562" i="6"/>
  <c r="E562" i="6"/>
  <c r="F562" i="6"/>
  <c r="B563" i="6"/>
  <c r="C563" i="6"/>
  <c r="E563" i="6"/>
  <c r="F563" i="6"/>
  <c r="B564" i="6"/>
  <c r="C564" i="6"/>
  <c r="E564" i="6"/>
  <c r="F564" i="6"/>
  <c r="B565" i="6"/>
  <c r="C565" i="6"/>
  <c r="E565" i="6"/>
  <c r="F565" i="6"/>
  <c r="B566" i="6"/>
  <c r="C566" i="6"/>
  <c r="E566" i="6"/>
  <c r="F566" i="6"/>
  <c r="B567" i="6"/>
  <c r="C567" i="6"/>
  <c r="E567" i="6"/>
  <c r="F567" i="6"/>
  <c r="B568" i="6"/>
  <c r="C568" i="6"/>
  <c r="E568" i="6"/>
  <c r="F568" i="6"/>
  <c r="B569" i="6"/>
  <c r="C569" i="6"/>
  <c r="E569" i="6"/>
  <c r="F569" i="6"/>
  <c r="B570" i="6"/>
  <c r="C570" i="6"/>
  <c r="E570" i="6"/>
  <c r="F570" i="6"/>
  <c r="B571" i="6"/>
  <c r="C571" i="6"/>
  <c r="E571" i="6"/>
  <c r="F571" i="6"/>
  <c r="B572" i="6"/>
  <c r="C572" i="6"/>
  <c r="E572" i="6"/>
  <c r="F572" i="6"/>
  <c r="B573" i="6"/>
  <c r="C573" i="6"/>
  <c r="E573" i="6"/>
  <c r="F573" i="6"/>
  <c r="B574" i="6"/>
  <c r="C574" i="6"/>
  <c r="E574" i="6"/>
  <c r="F574" i="6"/>
  <c r="B575" i="6"/>
  <c r="C575" i="6"/>
  <c r="E575" i="6"/>
  <c r="F575" i="6"/>
  <c r="B576" i="6"/>
  <c r="C576" i="6"/>
  <c r="E576" i="6"/>
  <c r="F576" i="6"/>
  <c r="B577" i="6"/>
  <c r="C577" i="6"/>
  <c r="E577" i="6"/>
  <c r="F577" i="6"/>
  <c r="B578" i="6"/>
  <c r="C578" i="6"/>
  <c r="E578" i="6"/>
  <c r="F578" i="6"/>
  <c r="B579" i="6"/>
  <c r="C579" i="6"/>
  <c r="E579" i="6"/>
  <c r="F579" i="6"/>
  <c r="B580" i="6"/>
  <c r="C580" i="6"/>
  <c r="E580" i="6"/>
  <c r="F580" i="6"/>
  <c r="B581" i="6"/>
  <c r="C581" i="6"/>
  <c r="E581" i="6"/>
  <c r="F581" i="6"/>
  <c r="B582" i="6"/>
  <c r="C582" i="6"/>
  <c r="E582" i="6"/>
  <c r="F582" i="6"/>
  <c r="B583" i="6"/>
  <c r="C583" i="6"/>
  <c r="E583" i="6"/>
  <c r="F583" i="6"/>
  <c r="B584" i="6"/>
  <c r="C584" i="6"/>
  <c r="E584" i="6"/>
  <c r="F584" i="6"/>
  <c r="B585" i="6"/>
  <c r="C585" i="6"/>
  <c r="E585" i="6"/>
  <c r="F585" i="6"/>
  <c r="B586" i="6"/>
  <c r="C586" i="6"/>
  <c r="E586" i="6"/>
  <c r="F586" i="6"/>
  <c r="B587" i="6"/>
  <c r="C587" i="6"/>
  <c r="E587" i="6"/>
  <c r="F587" i="6"/>
  <c r="B588" i="6"/>
  <c r="C588" i="6"/>
  <c r="E588" i="6"/>
  <c r="F588" i="6"/>
  <c r="B589" i="6"/>
  <c r="C589" i="6"/>
  <c r="E589" i="6"/>
  <c r="F589" i="6"/>
  <c r="B590" i="6"/>
  <c r="C590" i="6"/>
  <c r="E590" i="6"/>
  <c r="F590" i="6"/>
  <c r="B591" i="6"/>
  <c r="C591" i="6"/>
  <c r="E591" i="6"/>
  <c r="F591" i="6"/>
  <c r="B592" i="6"/>
  <c r="C592" i="6"/>
  <c r="E592" i="6"/>
  <c r="F592" i="6"/>
  <c r="B593" i="6"/>
  <c r="C593" i="6"/>
  <c r="E593" i="6"/>
  <c r="F593" i="6"/>
  <c r="B594" i="6"/>
  <c r="C594" i="6"/>
  <c r="E594" i="6"/>
  <c r="F594" i="6"/>
  <c r="B595" i="6"/>
  <c r="C595" i="6"/>
  <c r="E595" i="6"/>
  <c r="F595" i="6"/>
  <c r="B596" i="6"/>
  <c r="C596" i="6"/>
  <c r="E596" i="6"/>
  <c r="F596" i="6"/>
  <c r="B597" i="6"/>
  <c r="C597" i="6"/>
  <c r="E597" i="6"/>
  <c r="F597" i="6"/>
  <c r="B598" i="6"/>
  <c r="C598" i="6"/>
  <c r="E598" i="6"/>
  <c r="F598" i="6"/>
  <c r="B599" i="6"/>
  <c r="C599" i="6"/>
  <c r="E599" i="6"/>
  <c r="F599" i="6"/>
  <c r="B600" i="6"/>
  <c r="C600" i="6"/>
  <c r="E600" i="6"/>
  <c r="F600" i="6"/>
  <c r="B601" i="6"/>
  <c r="C601" i="6"/>
  <c r="E601" i="6"/>
  <c r="F601" i="6"/>
  <c r="B602" i="6"/>
  <c r="C602" i="6"/>
  <c r="E602" i="6"/>
  <c r="F602" i="6"/>
  <c r="B603" i="6"/>
  <c r="C603" i="6"/>
  <c r="E603" i="6"/>
  <c r="F603" i="6"/>
  <c r="B604" i="6"/>
  <c r="C604" i="6"/>
  <c r="E604" i="6"/>
  <c r="F604" i="6"/>
  <c r="B605" i="6"/>
  <c r="C605" i="6"/>
  <c r="E605" i="6"/>
  <c r="F605" i="6"/>
  <c r="B606" i="6"/>
  <c r="C606" i="6"/>
  <c r="E606" i="6"/>
  <c r="F606" i="6"/>
  <c r="B607" i="6"/>
  <c r="C607" i="6"/>
  <c r="E607" i="6"/>
  <c r="F607" i="6"/>
  <c r="B608" i="6"/>
  <c r="C608" i="6"/>
  <c r="E608" i="6"/>
  <c r="F608" i="6"/>
  <c r="B609" i="6"/>
  <c r="C609" i="6"/>
  <c r="E609" i="6"/>
  <c r="F609" i="6"/>
  <c r="B610" i="6"/>
  <c r="C610" i="6"/>
  <c r="E610" i="6"/>
  <c r="F610" i="6"/>
  <c r="B611" i="6"/>
  <c r="C611" i="6"/>
  <c r="E611" i="6"/>
  <c r="F611" i="6"/>
  <c r="B612" i="6"/>
  <c r="C612" i="6"/>
  <c r="E612" i="6"/>
  <c r="F612" i="6"/>
  <c r="B613" i="6"/>
  <c r="C613" i="6"/>
  <c r="E613" i="6"/>
  <c r="F613" i="6"/>
  <c r="B614" i="6"/>
  <c r="C614" i="6"/>
  <c r="E614" i="6"/>
  <c r="F614" i="6"/>
  <c r="B615" i="6"/>
  <c r="C615" i="6"/>
  <c r="E615" i="6"/>
  <c r="F615" i="6"/>
  <c r="B616" i="6"/>
  <c r="C616" i="6"/>
  <c r="E616" i="6"/>
  <c r="F616" i="6"/>
  <c r="B617" i="6"/>
  <c r="C617" i="6"/>
  <c r="E617" i="6"/>
  <c r="F617" i="6"/>
  <c r="B618" i="6"/>
  <c r="C618" i="6"/>
  <c r="E618" i="6"/>
  <c r="F618" i="6"/>
  <c r="B619" i="6"/>
  <c r="C619" i="6"/>
  <c r="E619" i="6"/>
  <c r="F619" i="6"/>
  <c r="B620" i="6"/>
  <c r="C620" i="6"/>
  <c r="E620" i="6"/>
  <c r="F620" i="6"/>
  <c r="B621" i="6"/>
  <c r="C621" i="6"/>
  <c r="E621" i="6"/>
  <c r="F621" i="6"/>
  <c r="B622" i="6"/>
  <c r="C622" i="6"/>
  <c r="E622" i="6"/>
  <c r="F622" i="6"/>
  <c r="B623" i="6"/>
  <c r="C623" i="6"/>
  <c r="E623" i="6"/>
  <c r="F623" i="6"/>
  <c r="B624" i="6"/>
  <c r="C624" i="6"/>
  <c r="E624" i="6"/>
  <c r="F624" i="6"/>
  <c r="B625" i="6"/>
  <c r="C625" i="6"/>
  <c r="E625" i="6"/>
  <c r="F625" i="6"/>
  <c r="B626" i="6"/>
  <c r="C626" i="6"/>
  <c r="E626" i="6"/>
  <c r="F626" i="6"/>
  <c r="B627" i="6"/>
  <c r="C627" i="6"/>
  <c r="E627" i="6"/>
  <c r="F627" i="6"/>
  <c r="B628" i="6"/>
  <c r="C628" i="6"/>
  <c r="E628" i="6"/>
  <c r="F628" i="6"/>
  <c r="B629" i="6"/>
  <c r="C629" i="6"/>
  <c r="E629" i="6"/>
  <c r="F629" i="6"/>
  <c r="B630" i="6"/>
  <c r="C630" i="6"/>
  <c r="E630" i="6"/>
  <c r="F630" i="6"/>
  <c r="B631" i="6"/>
  <c r="C631" i="6"/>
  <c r="E631" i="6"/>
  <c r="F631" i="6"/>
  <c r="B632" i="6"/>
  <c r="C632" i="6"/>
  <c r="E632" i="6"/>
  <c r="F632" i="6"/>
  <c r="B633" i="6"/>
  <c r="C633" i="6"/>
  <c r="E633" i="6"/>
  <c r="F633" i="6"/>
  <c r="B634" i="6"/>
  <c r="C634" i="6"/>
  <c r="E634" i="6"/>
  <c r="F634" i="6"/>
  <c r="B635" i="6"/>
  <c r="C635" i="6"/>
  <c r="E635" i="6"/>
  <c r="F635" i="6"/>
  <c r="B636" i="6"/>
  <c r="C636" i="6"/>
  <c r="E636" i="6"/>
  <c r="F636" i="6"/>
  <c r="B637" i="6"/>
  <c r="C637" i="6"/>
  <c r="E637" i="6"/>
  <c r="F637" i="6"/>
  <c r="B638" i="6"/>
  <c r="C638" i="6"/>
  <c r="E638" i="6"/>
  <c r="F638" i="6"/>
  <c r="B639" i="6"/>
  <c r="C639" i="6"/>
  <c r="E639" i="6"/>
  <c r="F639" i="6"/>
  <c r="B640" i="6"/>
  <c r="C640" i="6"/>
  <c r="E640" i="6"/>
  <c r="F640" i="6"/>
  <c r="B641" i="6"/>
  <c r="C641" i="6"/>
  <c r="E641" i="6"/>
  <c r="F641" i="6"/>
  <c r="B642" i="6"/>
  <c r="C642" i="6"/>
  <c r="E642" i="6"/>
  <c r="F642" i="6"/>
  <c r="B643" i="6"/>
  <c r="C643" i="6"/>
  <c r="E643" i="6"/>
  <c r="F643" i="6"/>
  <c r="B644" i="6"/>
  <c r="C644" i="6"/>
  <c r="E644" i="6"/>
  <c r="F644" i="6"/>
  <c r="B645" i="6"/>
  <c r="C645" i="6"/>
  <c r="E645" i="6"/>
  <c r="F645" i="6"/>
  <c r="B646" i="6"/>
  <c r="C646" i="6"/>
  <c r="E646" i="6"/>
  <c r="F646" i="6"/>
  <c r="B647" i="6"/>
  <c r="C647" i="6"/>
  <c r="E647" i="6"/>
  <c r="F647" i="6"/>
  <c r="B648" i="6"/>
  <c r="C648" i="6"/>
  <c r="E648" i="6"/>
  <c r="F648" i="6"/>
  <c r="B649" i="6"/>
  <c r="C649" i="6"/>
  <c r="E649" i="6"/>
  <c r="F649" i="6"/>
  <c r="B650" i="6"/>
  <c r="C650" i="6"/>
  <c r="E650" i="6"/>
  <c r="F650" i="6"/>
  <c r="B651" i="6"/>
  <c r="C651" i="6"/>
  <c r="E651" i="6"/>
  <c r="F651" i="6"/>
  <c r="B652" i="6"/>
  <c r="C652" i="6"/>
  <c r="E652" i="6"/>
  <c r="F652" i="6"/>
  <c r="B653" i="6"/>
  <c r="C653" i="6"/>
  <c r="E653" i="6"/>
  <c r="F653" i="6"/>
  <c r="B654" i="6"/>
  <c r="C654" i="6"/>
  <c r="E654" i="6"/>
  <c r="F654" i="6"/>
  <c r="B655" i="6"/>
  <c r="C655" i="6"/>
  <c r="E655" i="6"/>
  <c r="F655" i="6"/>
  <c r="B656" i="6"/>
  <c r="C656" i="6"/>
  <c r="E656" i="6"/>
  <c r="F656" i="6"/>
  <c r="B657" i="6"/>
  <c r="C657" i="6"/>
  <c r="E657" i="6"/>
  <c r="F657" i="6"/>
  <c r="B658" i="6"/>
  <c r="C658" i="6"/>
  <c r="E658" i="6"/>
  <c r="F658" i="6"/>
  <c r="B659" i="6"/>
  <c r="C659" i="6"/>
  <c r="E659" i="6"/>
  <c r="F659" i="6"/>
  <c r="B660" i="6"/>
  <c r="C660" i="6"/>
  <c r="E660" i="6"/>
  <c r="F660" i="6"/>
  <c r="B661" i="6"/>
  <c r="C661" i="6"/>
  <c r="E661" i="6"/>
  <c r="F661" i="6"/>
  <c r="B662" i="6"/>
  <c r="C662" i="6"/>
  <c r="E662" i="6"/>
  <c r="F662" i="6"/>
  <c r="B663" i="6"/>
  <c r="C663" i="6"/>
  <c r="E663" i="6"/>
  <c r="F663" i="6"/>
  <c r="B664" i="6"/>
  <c r="C664" i="6"/>
  <c r="E664" i="6"/>
  <c r="F664" i="6"/>
  <c r="B665" i="6"/>
  <c r="C665" i="6"/>
  <c r="E665" i="6"/>
  <c r="F665" i="6"/>
  <c r="B666" i="6"/>
  <c r="C666" i="6"/>
  <c r="E666" i="6"/>
  <c r="F666" i="6"/>
  <c r="B667" i="6"/>
  <c r="C667" i="6"/>
  <c r="E667" i="6"/>
  <c r="F667" i="6"/>
  <c r="B668" i="6"/>
  <c r="C668" i="6"/>
  <c r="E668" i="6"/>
  <c r="F668" i="6"/>
  <c r="B669" i="6"/>
  <c r="C669" i="6"/>
  <c r="E669" i="6"/>
  <c r="F669" i="6"/>
  <c r="B670" i="6"/>
  <c r="C670" i="6"/>
  <c r="E670" i="6"/>
  <c r="F670" i="6"/>
  <c r="B671" i="6"/>
  <c r="C671" i="6"/>
  <c r="E671" i="6"/>
  <c r="F671" i="6"/>
  <c r="B672" i="6"/>
  <c r="C672" i="6"/>
  <c r="E672" i="6"/>
  <c r="F672" i="6"/>
  <c r="B673" i="6"/>
  <c r="C673" i="6"/>
  <c r="E673" i="6"/>
  <c r="F673" i="6"/>
  <c r="B674" i="6"/>
  <c r="C674" i="6"/>
  <c r="E674" i="6"/>
  <c r="F674" i="6"/>
  <c r="B675" i="6"/>
  <c r="C675" i="6"/>
  <c r="E675" i="6"/>
  <c r="F675" i="6"/>
  <c r="B676" i="6"/>
  <c r="C676" i="6"/>
  <c r="E676" i="6"/>
  <c r="F676" i="6"/>
  <c r="B677" i="6"/>
  <c r="C677" i="6"/>
  <c r="E677" i="6"/>
  <c r="F677" i="6"/>
  <c r="B678" i="6"/>
  <c r="C678" i="6"/>
  <c r="E678" i="6"/>
  <c r="F678" i="6"/>
  <c r="B679" i="6"/>
  <c r="C679" i="6"/>
  <c r="E679" i="6"/>
  <c r="F679" i="6"/>
  <c r="B680" i="6"/>
  <c r="C680" i="6"/>
  <c r="E680" i="6"/>
  <c r="F680" i="6"/>
  <c r="B681" i="6"/>
  <c r="C681" i="6"/>
  <c r="E681" i="6"/>
  <c r="F681" i="6"/>
  <c r="B682" i="6"/>
  <c r="C682" i="6"/>
  <c r="E682" i="6"/>
  <c r="F682" i="6"/>
  <c r="B683" i="6"/>
  <c r="C683" i="6"/>
  <c r="E683" i="6"/>
  <c r="F683" i="6"/>
  <c r="B684" i="6"/>
  <c r="C684" i="6"/>
  <c r="E684" i="6"/>
  <c r="F684" i="6"/>
  <c r="B685" i="6"/>
  <c r="C685" i="6"/>
  <c r="E685" i="6"/>
  <c r="F685" i="6"/>
  <c r="B686" i="6"/>
  <c r="C686" i="6"/>
  <c r="E686" i="6"/>
  <c r="F686" i="6"/>
  <c r="B687" i="6"/>
  <c r="C687" i="6"/>
  <c r="E687" i="6"/>
  <c r="F687" i="6"/>
  <c r="B688" i="6"/>
  <c r="C688" i="6"/>
  <c r="E688" i="6"/>
  <c r="F688" i="6"/>
  <c r="B689" i="6"/>
  <c r="C689" i="6"/>
  <c r="E689" i="6"/>
  <c r="F689" i="6"/>
  <c r="B690" i="6"/>
  <c r="C690" i="6"/>
  <c r="E690" i="6"/>
  <c r="F690" i="6"/>
  <c r="B691" i="6"/>
  <c r="C691" i="6"/>
  <c r="E691" i="6"/>
  <c r="F691" i="6"/>
  <c r="B692" i="6"/>
  <c r="C692" i="6"/>
  <c r="E692" i="6"/>
  <c r="F692" i="6"/>
  <c r="B693" i="6"/>
  <c r="C693" i="6"/>
  <c r="E693" i="6"/>
  <c r="F693" i="6"/>
  <c r="B694" i="6"/>
  <c r="C694" i="6"/>
  <c r="E694" i="6"/>
  <c r="F694" i="6"/>
  <c r="B695" i="6"/>
  <c r="C695" i="6"/>
  <c r="E695" i="6"/>
  <c r="F695" i="6"/>
  <c r="B696" i="6"/>
  <c r="C696" i="6"/>
  <c r="E696" i="6"/>
  <c r="F696" i="6"/>
  <c r="B697" i="6"/>
  <c r="C697" i="6"/>
  <c r="E697" i="6"/>
  <c r="F697" i="6"/>
  <c r="B698" i="6"/>
  <c r="C698" i="6"/>
  <c r="E698" i="6"/>
  <c r="F698" i="6"/>
  <c r="B699" i="6"/>
  <c r="C699" i="6"/>
  <c r="E699" i="6"/>
  <c r="F699" i="6"/>
  <c r="B700" i="6"/>
  <c r="C700" i="6"/>
  <c r="E700" i="6"/>
  <c r="F700" i="6"/>
  <c r="B701" i="6"/>
  <c r="C701" i="6"/>
  <c r="E701" i="6"/>
  <c r="F701" i="6"/>
  <c r="B702" i="6"/>
  <c r="C702" i="6"/>
  <c r="E702" i="6"/>
  <c r="F702" i="6"/>
  <c r="B703" i="6"/>
  <c r="C703" i="6"/>
  <c r="E703" i="6"/>
  <c r="F703" i="6"/>
  <c r="B704" i="6"/>
  <c r="C704" i="6"/>
  <c r="E704" i="6"/>
  <c r="F704" i="6"/>
  <c r="B705" i="6"/>
  <c r="C705" i="6"/>
  <c r="E705" i="6"/>
  <c r="F705" i="6"/>
  <c r="B706" i="6"/>
  <c r="C706" i="6"/>
  <c r="E706" i="6"/>
  <c r="F706" i="6"/>
  <c r="B707" i="6"/>
  <c r="C707" i="6"/>
  <c r="E707" i="6"/>
  <c r="F707" i="6"/>
  <c r="B708" i="6"/>
  <c r="C708" i="6"/>
  <c r="E708" i="6"/>
  <c r="F708" i="6"/>
  <c r="B709" i="6"/>
  <c r="C709" i="6"/>
  <c r="E709" i="6"/>
  <c r="F709" i="6"/>
  <c r="B710" i="6"/>
  <c r="C710" i="6"/>
  <c r="E710" i="6"/>
  <c r="F710" i="6"/>
  <c r="B711" i="6"/>
  <c r="C711" i="6"/>
  <c r="E711" i="6"/>
  <c r="F711" i="6"/>
  <c r="B712" i="6"/>
  <c r="C712" i="6"/>
  <c r="E712" i="6"/>
  <c r="F712" i="6"/>
  <c r="B713" i="6"/>
  <c r="C713" i="6"/>
  <c r="E713" i="6"/>
  <c r="F713" i="6"/>
  <c r="B714" i="6"/>
  <c r="C714" i="6"/>
  <c r="E714" i="6"/>
  <c r="F714" i="6"/>
  <c r="B715" i="6"/>
  <c r="C715" i="6"/>
  <c r="E715" i="6"/>
  <c r="F715" i="6"/>
  <c r="B716" i="6"/>
  <c r="C716" i="6"/>
  <c r="E716" i="6"/>
  <c r="F716" i="6"/>
  <c r="B717" i="6"/>
  <c r="C717" i="6"/>
  <c r="E717" i="6"/>
  <c r="F717" i="6"/>
  <c r="B718" i="6"/>
  <c r="C718" i="6"/>
  <c r="E718" i="6"/>
  <c r="F718" i="6"/>
  <c r="B719" i="6"/>
  <c r="C719" i="6"/>
  <c r="E719" i="6"/>
  <c r="F719" i="6"/>
  <c r="B720" i="6"/>
  <c r="C720" i="6"/>
  <c r="E720" i="6"/>
  <c r="F720" i="6"/>
  <c r="B721" i="6"/>
  <c r="C721" i="6"/>
  <c r="E721" i="6"/>
  <c r="F721" i="6"/>
  <c r="B722" i="6"/>
  <c r="C722" i="6"/>
  <c r="E722" i="6"/>
  <c r="F722" i="6"/>
  <c r="B723" i="6"/>
  <c r="C723" i="6"/>
  <c r="E723" i="6"/>
  <c r="F723" i="6"/>
  <c r="B724" i="6"/>
  <c r="C724" i="6"/>
  <c r="E724" i="6"/>
  <c r="F724" i="6"/>
  <c r="B725" i="6"/>
  <c r="C725" i="6"/>
  <c r="E725" i="6"/>
  <c r="F725" i="6"/>
  <c r="B726" i="6"/>
  <c r="C726" i="6"/>
  <c r="E726" i="6"/>
  <c r="F726" i="6"/>
  <c r="B727" i="6"/>
  <c r="C727" i="6"/>
  <c r="E727" i="6"/>
  <c r="F727" i="6"/>
  <c r="B728" i="6"/>
  <c r="C728" i="6"/>
  <c r="E728" i="6"/>
  <c r="F728" i="6"/>
  <c r="B729" i="6"/>
  <c r="C729" i="6"/>
  <c r="E729" i="6"/>
  <c r="F729" i="6"/>
  <c r="B730" i="6"/>
  <c r="C730" i="6"/>
  <c r="E730" i="6"/>
  <c r="F730" i="6"/>
  <c r="B731" i="6"/>
  <c r="C731" i="6"/>
  <c r="E731" i="6"/>
  <c r="F731" i="6"/>
  <c r="B732" i="6"/>
  <c r="C732" i="6"/>
  <c r="E732" i="6"/>
  <c r="F732" i="6"/>
  <c r="B733" i="6"/>
  <c r="C733" i="6"/>
  <c r="E733" i="6"/>
  <c r="F733" i="6"/>
  <c r="B734" i="6"/>
  <c r="C734" i="6"/>
  <c r="E734" i="6"/>
  <c r="F734" i="6"/>
  <c r="B735" i="6"/>
  <c r="C735" i="6"/>
  <c r="E735" i="6"/>
  <c r="F735" i="6"/>
  <c r="B736" i="6"/>
  <c r="C736" i="6"/>
  <c r="E736" i="6"/>
  <c r="F736" i="6"/>
  <c r="B737" i="6"/>
  <c r="C737" i="6"/>
  <c r="E737" i="6"/>
  <c r="F737" i="6"/>
  <c r="B738" i="6"/>
  <c r="C738" i="6"/>
  <c r="E738" i="6"/>
  <c r="F738" i="6"/>
  <c r="B739" i="6"/>
  <c r="C739" i="6"/>
  <c r="E739" i="6"/>
  <c r="F739" i="6"/>
  <c r="B740" i="6"/>
  <c r="C740" i="6"/>
  <c r="E740" i="6"/>
  <c r="F740" i="6"/>
  <c r="B741" i="6"/>
  <c r="C741" i="6"/>
  <c r="E741" i="6"/>
  <c r="F741" i="6"/>
  <c r="B742" i="6"/>
  <c r="C742" i="6"/>
  <c r="E742" i="6"/>
  <c r="F742" i="6"/>
  <c r="B743" i="6"/>
  <c r="C743" i="6"/>
  <c r="E743" i="6"/>
  <c r="F743" i="6"/>
  <c r="B744" i="6"/>
  <c r="C744" i="6"/>
  <c r="E744" i="6"/>
  <c r="F744" i="6"/>
  <c r="B745" i="6"/>
  <c r="C745" i="6"/>
  <c r="E745" i="6"/>
  <c r="F745" i="6"/>
  <c r="B746" i="6"/>
  <c r="C746" i="6"/>
  <c r="E746" i="6"/>
  <c r="F746" i="6"/>
  <c r="B747" i="6"/>
  <c r="C747" i="6"/>
  <c r="E747" i="6"/>
  <c r="F747" i="6"/>
  <c r="B748" i="6"/>
  <c r="C748" i="6"/>
  <c r="E748" i="6"/>
  <c r="F748" i="6"/>
  <c r="B749" i="6"/>
  <c r="C749" i="6"/>
  <c r="E749" i="6"/>
  <c r="F749" i="6"/>
  <c r="B750" i="6"/>
  <c r="C750" i="6"/>
  <c r="E750" i="6"/>
  <c r="F750" i="6"/>
  <c r="B751" i="6"/>
  <c r="C751" i="6"/>
  <c r="E751" i="6"/>
  <c r="F751" i="6"/>
  <c r="B752" i="6"/>
  <c r="C752" i="6"/>
  <c r="E752" i="6"/>
  <c r="F752" i="6"/>
  <c r="B753" i="6"/>
  <c r="C753" i="6"/>
  <c r="E753" i="6"/>
  <c r="F753" i="6"/>
  <c r="B754" i="6"/>
  <c r="C754" i="6"/>
  <c r="E754" i="6"/>
  <c r="F754" i="6"/>
  <c r="B755" i="6"/>
  <c r="C755" i="6"/>
  <c r="E755" i="6"/>
  <c r="F755" i="6"/>
  <c r="B756" i="6"/>
  <c r="C756" i="6"/>
  <c r="E756" i="6"/>
  <c r="F756" i="6"/>
  <c r="B757" i="6"/>
  <c r="C757" i="6"/>
  <c r="E757" i="6"/>
  <c r="F757" i="6"/>
  <c r="B758" i="6"/>
  <c r="C758" i="6"/>
  <c r="E758" i="6"/>
  <c r="F758" i="6"/>
  <c r="B759" i="6"/>
  <c r="C759" i="6"/>
  <c r="E759" i="6"/>
  <c r="F759" i="6"/>
  <c r="B760" i="6"/>
  <c r="C760" i="6"/>
  <c r="E760" i="6"/>
  <c r="F760" i="6"/>
  <c r="B761" i="6"/>
  <c r="C761" i="6"/>
  <c r="E761" i="6"/>
  <c r="F761" i="6"/>
  <c r="B762" i="6"/>
  <c r="C762" i="6"/>
  <c r="E762" i="6"/>
  <c r="F762" i="6"/>
  <c r="B763" i="6"/>
  <c r="C763" i="6"/>
  <c r="E763" i="6"/>
  <c r="F763" i="6"/>
  <c r="B764" i="6"/>
  <c r="C764" i="6"/>
  <c r="E764" i="6"/>
  <c r="F764" i="6"/>
  <c r="B765" i="6"/>
  <c r="C765" i="6"/>
  <c r="E765" i="6"/>
  <c r="F765" i="6"/>
  <c r="B766" i="6"/>
  <c r="C766" i="6"/>
  <c r="E766" i="6"/>
  <c r="F766" i="6"/>
  <c r="B767" i="6"/>
  <c r="C767" i="6"/>
  <c r="E767" i="6"/>
  <c r="F767" i="6"/>
  <c r="B768" i="6"/>
  <c r="C768" i="6"/>
  <c r="E768" i="6"/>
  <c r="F768" i="6"/>
  <c r="B769" i="6"/>
  <c r="C769" i="6"/>
  <c r="E769" i="6"/>
  <c r="F769" i="6"/>
  <c r="B770" i="6"/>
  <c r="C770" i="6"/>
  <c r="E770" i="6"/>
  <c r="F770" i="6"/>
  <c r="B771" i="6"/>
  <c r="C771" i="6"/>
  <c r="E771" i="6"/>
  <c r="F771" i="6"/>
  <c r="B772" i="6"/>
  <c r="C772" i="6"/>
  <c r="E772" i="6"/>
  <c r="F772" i="6"/>
  <c r="B773" i="6"/>
  <c r="C773" i="6"/>
  <c r="E773" i="6"/>
  <c r="F773" i="6"/>
  <c r="B774" i="6"/>
  <c r="C774" i="6"/>
  <c r="E774" i="6"/>
  <c r="F774" i="6"/>
  <c r="B775" i="6"/>
  <c r="C775" i="6"/>
  <c r="E775" i="6"/>
  <c r="F775" i="6"/>
  <c r="B776" i="6"/>
  <c r="C776" i="6"/>
  <c r="E776" i="6"/>
  <c r="F776" i="6"/>
  <c r="B777" i="6"/>
  <c r="C777" i="6"/>
  <c r="E777" i="6"/>
  <c r="F777" i="6"/>
  <c r="B778" i="6"/>
  <c r="C778" i="6"/>
  <c r="E778" i="6"/>
  <c r="F778" i="6"/>
  <c r="B779" i="6"/>
  <c r="C779" i="6"/>
  <c r="E779" i="6"/>
  <c r="F779" i="6"/>
  <c r="B780" i="6"/>
  <c r="C780" i="6"/>
  <c r="E780" i="6"/>
  <c r="F780" i="6"/>
  <c r="B781" i="6"/>
  <c r="C781" i="6"/>
  <c r="E781" i="6"/>
  <c r="F781" i="6"/>
  <c r="B782" i="6"/>
  <c r="C782" i="6"/>
  <c r="E782" i="6"/>
  <c r="F782" i="6"/>
  <c r="B783" i="6"/>
  <c r="C783" i="6"/>
  <c r="E783" i="6"/>
  <c r="F783" i="6"/>
  <c r="B784" i="6"/>
  <c r="C784" i="6"/>
  <c r="E784" i="6"/>
  <c r="F784" i="6"/>
  <c r="B785" i="6"/>
  <c r="C785" i="6"/>
  <c r="E785" i="6"/>
  <c r="F785" i="6"/>
  <c r="B786" i="6"/>
  <c r="C786" i="6"/>
  <c r="E786" i="6"/>
  <c r="F786" i="6"/>
  <c r="B787" i="6"/>
  <c r="C787" i="6"/>
  <c r="E787" i="6"/>
  <c r="F787" i="6"/>
  <c r="B788" i="6"/>
  <c r="C788" i="6"/>
  <c r="E788" i="6"/>
  <c r="F788" i="6"/>
  <c r="B789" i="6"/>
  <c r="C789" i="6"/>
  <c r="E789" i="6"/>
  <c r="F789" i="6"/>
  <c r="B790" i="6"/>
  <c r="C790" i="6"/>
  <c r="E790" i="6"/>
  <c r="F790" i="6"/>
  <c r="B791" i="6"/>
  <c r="C791" i="6"/>
  <c r="E791" i="6"/>
  <c r="F791" i="6"/>
  <c r="B792" i="6"/>
  <c r="C792" i="6"/>
  <c r="E792" i="6"/>
  <c r="F792" i="6"/>
  <c r="B793" i="6"/>
  <c r="C793" i="6"/>
  <c r="E793" i="6"/>
  <c r="F793" i="6"/>
  <c r="B794" i="6"/>
  <c r="C794" i="6"/>
  <c r="E794" i="6"/>
  <c r="F794" i="6"/>
  <c r="B795" i="6"/>
  <c r="C795" i="6"/>
  <c r="E795" i="6"/>
  <c r="F795" i="6"/>
  <c r="B796" i="6"/>
  <c r="C796" i="6"/>
  <c r="E796" i="6"/>
  <c r="F796" i="6"/>
  <c r="B797" i="6"/>
  <c r="C797" i="6"/>
  <c r="E797" i="6"/>
  <c r="F797" i="6"/>
  <c r="B798" i="6"/>
  <c r="C798" i="6"/>
  <c r="E798" i="6"/>
  <c r="F798" i="6"/>
  <c r="B799" i="6"/>
  <c r="C799" i="6"/>
  <c r="E799" i="6"/>
  <c r="F799" i="6"/>
  <c r="B800" i="6"/>
  <c r="C800" i="6"/>
  <c r="E800" i="6"/>
  <c r="F800" i="6"/>
  <c r="B801" i="6"/>
  <c r="C801" i="6"/>
  <c r="E801" i="6"/>
  <c r="F801" i="6"/>
  <c r="B802" i="6"/>
  <c r="C802" i="6"/>
  <c r="E802" i="6"/>
  <c r="F802" i="6"/>
  <c r="B803" i="6"/>
  <c r="C803" i="6"/>
  <c r="E803" i="6"/>
  <c r="F803" i="6"/>
  <c r="B804" i="6"/>
  <c r="C804" i="6"/>
  <c r="E804" i="6"/>
  <c r="F804" i="6"/>
  <c r="B805" i="6"/>
  <c r="C805" i="6"/>
  <c r="E805" i="6"/>
  <c r="F805" i="6"/>
  <c r="B806" i="6"/>
  <c r="C806" i="6"/>
  <c r="E806" i="6"/>
  <c r="F806" i="6"/>
  <c r="B807" i="6"/>
  <c r="C807" i="6"/>
  <c r="E807" i="6"/>
  <c r="F807" i="6"/>
  <c r="B808" i="6"/>
  <c r="C808" i="6"/>
  <c r="E808" i="6"/>
  <c r="F808" i="6"/>
  <c r="B809" i="6"/>
  <c r="C809" i="6"/>
  <c r="E809" i="6"/>
  <c r="F809" i="6"/>
  <c r="B810" i="6"/>
  <c r="C810" i="6"/>
  <c r="E810" i="6"/>
  <c r="F810" i="6"/>
  <c r="B811" i="6"/>
  <c r="C811" i="6"/>
  <c r="E811" i="6"/>
  <c r="F811" i="6"/>
  <c r="B812" i="6"/>
  <c r="C812" i="6"/>
  <c r="E812" i="6"/>
  <c r="F812" i="6"/>
  <c r="B813" i="6"/>
  <c r="C813" i="6"/>
  <c r="E813" i="6"/>
  <c r="F813" i="6"/>
  <c r="B814" i="6"/>
  <c r="C814" i="6"/>
  <c r="E814" i="6"/>
  <c r="F814" i="6"/>
  <c r="B815" i="6"/>
  <c r="C815" i="6"/>
  <c r="E815" i="6"/>
  <c r="F815" i="6"/>
  <c r="B816" i="6"/>
  <c r="C816" i="6"/>
  <c r="E816" i="6"/>
  <c r="F816" i="6"/>
  <c r="B817" i="6"/>
  <c r="C817" i="6"/>
  <c r="E817" i="6"/>
  <c r="F817" i="6"/>
  <c r="B818" i="6"/>
  <c r="C818" i="6"/>
  <c r="E818" i="6"/>
  <c r="F818" i="6"/>
  <c r="B819" i="6"/>
  <c r="C819" i="6"/>
  <c r="E819" i="6"/>
  <c r="F819" i="6"/>
  <c r="B820" i="6"/>
  <c r="C820" i="6"/>
  <c r="E820" i="6"/>
  <c r="F820" i="6"/>
  <c r="B821" i="6"/>
  <c r="C821" i="6"/>
  <c r="E821" i="6"/>
  <c r="F821" i="6"/>
  <c r="B822" i="6"/>
  <c r="C822" i="6"/>
  <c r="E822" i="6"/>
  <c r="F822" i="6"/>
  <c r="B823" i="6"/>
  <c r="C823" i="6"/>
  <c r="E823" i="6"/>
  <c r="F823" i="6"/>
  <c r="B824" i="6"/>
  <c r="C824" i="6"/>
  <c r="E824" i="6"/>
  <c r="F824" i="6"/>
  <c r="B825" i="6"/>
  <c r="C825" i="6"/>
  <c r="E825" i="6"/>
  <c r="F825" i="6"/>
  <c r="B826" i="6"/>
  <c r="C826" i="6"/>
  <c r="E826" i="6"/>
  <c r="F826" i="6"/>
  <c r="B827" i="6"/>
  <c r="C827" i="6"/>
  <c r="E827" i="6"/>
  <c r="F827" i="6"/>
  <c r="B828" i="6"/>
  <c r="C828" i="6"/>
  <c r="E828" i="6"/>
  <c r="F828" i="6"/>
  <c r="B829" i="6"/>
  <c r="C829" i="6"/>
  <c r="E829" i="6"/>
  <c r="F829" i="6"/>
  <c r="B830" i="6"/>
  <c r="C830" i="6"/>
  <c r="E830" i="6"/>
  <c r="F830" i="6"/>
  <c r="B831" i="6"/>
  <c r="C831" i="6"/>
  <c r="E831" i="6"/>
  <c r="F831" i="6"/>
  <c r="B832" i="6"/>
  <c r="C832" i="6"/>
  <c r="E832" i="6"/>
  <c r="F832" i="6"/>
  <c r="B833" i="6"/>
  <c r="C833" i="6"/>
  <c r="E833" i="6"/>
  <c r="F833" i="6"/>
  <c r="B834" i="6"/>
  <c r="C834" i="6"/>
  <c r="E834" i="6"/>
  <c r="F834" i="6"/>
  <c r="B835" i="6"/>
  <c r="C835" i="6"/>
  <c r="E835" i="6"/>
  <c r="F835" i="6"/>
  <c r="B836" i="6"/>
  <c r="C836" i="6"/>
  <c r="E836" i="6"/>
  <c r="F836" i="6"/>
  <c r="B837" i="6"/>
  <c r="C837" i="6"/>
  <c r="E837" i="6"/>
  <c r="F837" i="6"/>
  <c r="B838" i="6"/>
  <c r="C838" i="6"/>
  <c r="E838" i="6"/>
  <c r="F838" i="6"/>
  <c r="B839" i="6"/>
  <c r="C839" i="6"/>
  <c r="E839" i="6"/>
  <c r="F839" i="6"/>
  <c r="B840" i="6"/>
  <c r="C840" i="6"/>
  <c r="E840" i="6"/>
  <c r="F840" i="6"/>
  <c r="B841" i="6"/>
  <c r="C841" i="6"/>
  <c r="E841" i="6"/>
  <c r="F841" i="6"/>
  <c r="B842" i="6"/>
  <c r="C842" i="6"/>
  <c r="E842" i="6"/>
  <c r="F842" i="6"/>
  <c r="B843" i="6"/>
  <c r="C843" i="6"/>
  <c r="E843" i="6"/>
  <c r="F843" i="6"/>
  <c r="B844" i="6"/>
  <c r="C844" i="6"/>
  <c r="E844" i="6"/>
  <c r="F844" i="6"/>
  <c r="B845" i="6"/>
  <c r="C845" i="6"/>
  <c r="E845" i="6"/>
  <c r="F845" i="6"/>
  <c r="B846" i="6"/>
  <c r="C846" i="6"/>
  <c r="E846" i="6"/>
  <c r="F846" i="6"/>
  <c r="B847" i="6"/>
  <c r="C847" i="6"/>
  <c r="E847" i="6"/>
  <c r="F847" i="6"/>
  <c r="B848" i="6"/>
  <c r="C848" i="6"/>
  <c r="E848" i="6"/>
  <c r="F848" i="6"/>
  <c r="B849" i="6"/>
  <c r="C849" i="6"/>
  <c r="E849" i="6"/>
  <c r="F849" i="6"/>
  <c r="B850" i="6"/>
  <c r="C850" i="6"/>
  <c r="E850" i="6"/>
  <c r="F850" i="6"/>
  <c r="B851" i="6"/>
  <c r="C851" i="6"/>
  <c r="E851" i="6"/>
  <c r="F851" i="6"/>
  <c r="B852" i="6"/>
  <c r="C852" i="6"/>
  <c r="E852" i="6"/>
  <c r="F852" i="6"/>
  <c r="B853" i="6"/>
  <c r="C853" i="6"/>
  <c r="E853" i="6"/>
  <c r="F853" i="6"/>
  <c r="B854" i="6"/>
  <c r="C854" i="6"/>
  <c r="E854" i="6"/>
  <c r="F854" i="6"/>
  <c r="B855" i="6"/>
  <c r="C855" i="6"/>
  <c r="E855" i="6"/>
  <c r="F855" i="6"/>
  <c r="B856" i="6"/>
  <c r="C856" i="6"/>
  <c r="E856" i="6"/>
  <c r="F856" i="6"/>
  <c r="B857" i="6"/>
  <c r="C857" i="6"/>
  <c r="E857" i="6"/>
  <c r="F857" i="6"/>
  <c r="B858" i="6"/>
  <c r="C858" i="6"/>
  <c r="E858" i="6"/>
  <c r="F858" i="6"/>
  <c r="B859" i="6"/>
  <c r="C859" i="6"/>
  <c r="E859" i="6"/>
  <c r="F859" i="6"/>
  <c r="B860" i="6"/>
  <c r="C860" i="6"/>
  <c r="E860" i="6"/>
  <c r="F860" i="6"/>
  <c r="B861" i="6"/>
  <c r="C861" i="6"/>
  <c r="E861" i="6"/>
  <c r="F861" i="6"/>
  <c r="B862" i="6"/>
  <c r="C862" i="6"/>
  <c r="E862" i="6"/>
  <c r="F862" i="6"/>
  <c r="B863" i="6"/>
  <c r="C863" i="6"/>
  <c r="E863" i="6"/>
  <c r="F863" i="6"/>
  <c r="B864" i="6"/>
  <c r="C864" i="6"/>
  <c r="E864" i="6"/>
  <c r="F864" i="6"/>
  <c r="B865" i="6"/>
  <c r="C865" i="6"/>
  <c r="E865" i="6"/>
  <c r="F865" i="6"/>
  <c r="B866" i="6"/>
  <c r="C866" i="6"/>
  <c r="E866" i="6"/>
  <c r="F866" i="6"/>
  <c r="B867" i="6"/>
  <c r="C867" i="6"/>
  <c r="E867" i="6"/>
  <c r="F867" i="6"/>
  <c r="B868" i="6"/>
  <c r="C868" i="6"/>
  <c r="E868" i="6"/>
  <c r="F868" i="6"/>
  <c r="B869" i="6"/>
  <c r="C869" i="6"/>
  <c r="E869" i="6"/>
  <c r="F869" i="6"/>
  <c r="B870" i="6"/>
  <c r="C870" i="6"/>
  <c r="E870" i="6"/>
  <c r="F870" i="6"/>
  <c r="B871" i="6"/>
  <c r="C871" i="6"/>
  <c r="E871" i="6"/>
  <c r="F871" i="6"/>
  <c r="B872" i="6"/>
  <c r="C872" i="6"/>
  <c r="E872" i="6"/>
  <c r="F872" i="6"/>
  <c r="B873" i="6"/>
  <c r="C873" i="6"/>
  <c r="E873" i="6"/>
  <c r="F873" i="6"/>
  <c r="B874" i="6"/>
  <c r="C874" i="6"/>
  <c r="E874" i="6"/>
  <c r="F874" i="6"/>
  <c r="B875" i="6"/>
  <c r="C875" i="6"/>
  <c r="E875" i="6"/>
  <c r="F875" i="6"/>
  <c r="B876" i="6"/>
  <c r="C876" i="6"/>
  <c r="E876" i="6"/>
  <c r="F876" i="6"/>
  <c r="B877" i="6"/>
  <c r="C877" i="6"/>
  <c r="E877" i="6"/>
  <c r="F877" i="6"/>
  <c r="B878" i="6"/>
  <c r="C878" i="6"/>
  <c r="E878" i="6"/>
  <c r="F878" i="6"/>
  <c r="B879" i="6"/>
  <c r="C879" i="6"/>
  <c r="E879" i="6"/>
  <c r="F879" i="6"/>
  <c r="B880" i="6"/>
  <c r="C880" i="6"/>
  <c r="E880" i="6"/>
  <c r="F880" i="6"/>
  <c r="B881" i="6"/>
  <c r="C881" i="6"/>
  <c r="E881" i="6"/>
  <c r="F881" i="6"/>
  <c r="B882" i="6"/>
  <c r="C882" i="6"/>
  <c r="E882" i="6"/>
  <c r="F882" i="6"/>
  <c r="B883" i="6"/>
  <c r="C883" i="6"/>
  <c r="E883" i="6"/>
  <c r="F883" i="6"/>
  <c r="B884" i="6"/>
  <c r="C884" i="6"/>
  <c r="E884" i="6"/>
  <c r="F884" i="6"/>
  <c r="B885" i="6"/>
  <c r="C885" i="6"/>
  <c r="E885" i="6"/>
  <c r="F885" i="6"/>
  <c r="B886" i="6"/>
  <c r="C886" i="6"/>
  <c r="E886" i="6"/>
  <c r="F886" i="6"/>
  <c r="B887" i="6"/>
  <c r="C887" i="6"/>
  <c r="E887" i="6"/>
  <c r="F887" i="6"/>
  <c r="B888" i="6"/>
  <c r="C888" i="6"/>
  <c r="E888" i="6"/>
  <c r="F888" i="6"/>
  <c r="B889" i="6"/>
  <c r="C889" i="6"/>
  <c r="E889" i="6"/>
  <c r="F889" i="6"/>
  <c r="B890" i="6"/>
  <c r="C890" i="6"/>
  <c r="E890" i="6"/>
  <c r="F890" i="6"/>
  <c r="B891" i="6"/>
  <c r="C891" i="6"/>
  <c r="E891" i="6"/>
  <c r="F891" i="6"/>
  <c r="B892" i="6"/>
  <c r="C892" i="6"/>
  <c r="E892" i="6"/>
  <c r="F892" i="6"/>
  <c r="B893" i="6"/>
  <c r="C893" i="6"/>
  <c r="E893" i="6"/>
  <c r="F893" i="6"/>
  <c r="B894" i="6"/>
  <c r="C894" i="6"/>
  <c r="E894" i="6"/>
  <c r="F894" i="6"/>
  <c r="B895" i="6"/>
  <c r="C895" i="6"/>
  <c r="E895" i="6"/>
  <c r="F895" i="6"/>
  <c r="B896" i="6"/>
  <c r="C896" i="6"/>
  <c r="E896" i="6"/>
  <c r="F896" i="6"/>
  <c r="B897" i="6"/>
  <c r="C897" i="6"/>
  <c r="E897" i="6"/>
  <c r="F897" i="6"/>
  <c r="B898" i="6"/>
  <c r="C898" i="6"/>
  <c r="E898" i="6"/>
  <c r="F898" i="6"/>
  <c r="B899" i="6"/>
  <c r="C899" i="6"/>
  <c r="E899" i="6"/>
  <c r="F899" i="6"/>
  <c r="B900" i="6"/>
  <c r="C900" i="6"/>
  <c r="E900" i="6"/>
  <c r="F900" i="6"/>
  <c r="B901" i="6"/>
  <c r="C901" i="6"/>
  <c r="E901" i="6"/>
  <c r="F901" i="6"/>
  <c r="B902" i="6"/>
  <c r="C902" i="6"/>
  <c r="E902" i="6"/>
  <c r="F902" i="6"/>
  <c r="B903" i="6"/>
  <c r="C903" i="6"/>
  <c r="E903" i="6"/>
  <c r="F903" i="6"/>
  <c r="B904" i="6"/>
  <c r="C904" i="6"/>
  <c r="E904" i="6"/>
  <c r="F904" i="6"/>
  <c r="B905" i="6"/>
  <c r="C905" i="6"/>
  <c r="E905" i="6"/>
  <c r="F905" i="6"/>
  <c r="B906" i="6"/>
  <c r="C906" i="6"/>
  <c r="E906" i="6"/>
  <c r="F906" i="6"/>
  <c r="B907" i="6"/>
  <c r="C907" i="6"/>
  <c r="E907" i="6"/>
  <c r="F907" i="6"/>
  <c r="B908" i="6"/>
  <c r="C908" i="6"/>
  <c r="E908" i="6"/>
  <c r="F908" i="6"/>
  <c r="B909" i="6"/>
  <c r="C909" i="6"/>
  <c r="E909" i="6"/>
  <c r="F909" i="6"/>
  <c r="B910" i="6"/>
  <c r="C910" i="6"/>
  <c r="E910" i="6"/>
  <c r="F910" i="6"/>
  <c r="B911" i="6"/>
  <c r="C911" i="6"/>
  <c r="E911" i="6"/>
  <c r="F911" i="6"/>
  <c r="B912" i="6"/>
  <c r="C912" i="6"/>
  <c r="E912" i="6"/>
  <c r="F912" i="6"/>
  <c r="B913" i="6"/>
  <c r="C913" i="6"/>
  <c r="E913" i="6"/>
  <c r="F913" i="6"/>
  <c r="B914" i="6"/>
  <c r="C914" i="6"/>
  <c r="E914" i="6"/>
  <c r="F914" i="6"/>
  <c r="B915" i="6"/>
  <c r="C915" i="6"/>
  <c r="E915" i="6"/>
  <c r="F915" i="6"/>
  <c r="B916" i="6"/>
  <c r="C916" i="6"/>
  <c r="E916" i="6"/>
  <c r="F916" i="6"/>
  <c r="B917" i="6"/>
  <c r="C917" i="6"/>
  <c r="E917" i="6"/>
  <c r="F917" i="6"/>
  <c r="B918" i="6"/>
  <c r="C918" i="6"/>
  <c r="E918" i="6"/>
  <c r="F918" i="6"/>
  <c r="B919" i="6"/>
  <c r="C919" i="6"/>
  <c r="E919" i="6"/>
  <c r="F919" i="6"/>
  <c r="B920" i="6"/>
  <c r="C920" i="6"/>
  <c r="E920" i="6"/>
  <c r="F920" i="6"/>
  <c r="B921" i="6"/>
  <c r="C921" i="6"/>
  <c r="E921" i="6"/>
  <c r="F921" i="6"/>
  <c r="B922" i="6"/>
  <c r="C922" i="6"/>
  <c r="E922" i="6"/>
  <c r="F922" i="6"/>
  <c r="B923" i="6"/>
  <c r="C923" i="6"/>
  <c r="E923" i="6"/>
  <c r="F923" i="6"/>
  <c r="B924" i="6"/>
  <c r="C924" i="6"/>
  <c r="E924" i="6"/>
  <c r="F924" i="6"/>
  <c r="B925" i="6"/>
  <c r="C925" i="6"/>
  <c r="E925" i="6"/>
  <c r="F925" i="6"/>
  <c r="B926" i="6"/>
  <c r="C926" i="6"/>
  <c r="E926" i="6"/>
  <c r="F926" i="6"/>
  <c r="B927" i="6"/>
  <c r="C927" i="6"/>
  <c r="E927" i="6"/>
  <c r="F927" i="6"/>
  <c r="B928" i="6"/>
  <c r="C928" i="6"/>
  <c r="E928" i="6"/>
  <c r="F928" i="6"/>
  <c r="B929" i="6"/>
  <c r="C929" i="6"/>
  <c r="E929" i="6"/>
  <c r="F929" i="6"/>
  <c r="B930" i="6"/>
  <c r="C930" i="6"/>
  <c r="E930" i="6"/>
  <c r="F930" i="6"/>
  <c r="B931" i="6"/>
  <c r="C931" i="6"/>
  <c r="E931" i="6"/>
  <c r="F931" i="6"/>
  <c r="B932" i="6"/>
  <c r="C932" i="6"/>
  <c r="E932" i="6"/>
  <c r="F932" i="6"/>
  <c r="B933" i="6"/>
  <c r="C933" i="6"/>
  <c r="E933" i="6"/>
  <c r="F933" i="6"/>
  <c r="B934" i="6"/>
  <c r="C934" i="6"/>
  <c r="E934" i="6"/>
  <c r="F934" i="6"/>
  <c r="B935" i="6"/>
  <c r="C935" i="6"/>
  <c r="E935" i="6"/>
  <c r="F935" i="6"/>
  <c r="B936" i="6"/>
  <c r="C936" i="6"/>
  <c r="E936" i="6"/>
  <c r="F936" i="6"/>
  <c r="B937" i="6"/>
  <c r="C937" i="6"/>
  <c r="E937" i="6"/>
  <c r="F937" i="6"/>
  <c r="B938" i="6"/>
  <c r="C938" i="6"/>
  <c r="E938" i="6"/>
  <c r="F938" i="6"/>
  <c r="B939" i="6"/>
  <c r="C939" i="6"/>
  <c r="E939" i="6"/>
  <c r="F939" i="6"/>
  <c r="B940" i="6"/>
  <c r="C940" i="6"/>
  <c r="E940" i="6"/>
  <c r="F940" i="6"/>
  <c r="B941" i="6"/>
  <c r="C941" i="6"/>
  <c r="E941" i="6"/>
  <c r="F941" i="6"/>
  <c r="B942" i="6"/>
  <c r="C942" i="6"/>
  <c r="E942" i="6"/>
  <c r="F942" i="6"/>
  <c r="B943" i="6"/>
  <c r="C943" i="6"/>
  <c r="E943" i="6"/>
  <c r="F943" i="6"/>
  <c r="B944" i="6"/>
  <c r="C944" i="6"/>
  <c r="E944" i="6"/>
  <c r="F944" i="6"/>
  <c r="B945" i="6"/>
  <c r="C945" i="6"/>
  <c r="E945" i="6"/>
  <c r="F945" i="6"/>
  <c r="B946" i="6"/>
  <c r="C946" i="6"/>
  <c r="E946" i="6"/>
  <c r="F946" i="6"/>
  <c r="B947" i="6"/>
  <c r="C947" i="6"/>
  <c r="E947" i="6"/>
  <c r="F947" i="6"/>
  <c r="B948" i="6"/>
  <c r="C948" i="6"/>
  <c r="E948" i="6"/>
  <c r="F948" i="6"/>
  <c r="B949" i="6"/>
  <c r="C949" i="6"/>
  <c r="E949" i="6"/>
  <c r="F949" i="6"/>
  <c r="B950" i="6"/>
  <c r="C950" i="6"/>
  <c r="E950" i="6"/>
  <c r="F950" i="6"/>
  <c r="B951" i="6"/>
  <c r="C951" i="6"/>
  <c r="E951" i="6"/>
  <c r="F951" i="6"/>
  <c r="B952" i="6"/>
  <c r="C952" i="6"/>
  <c r="E952" i="6"/>
  <c r="F952" i="6"/>
  <c r="B953" i="6"/>
  <c r="C953" i="6"/>
  <c r="E953" i="6"/>
  <c r="F953" i="6"/>
  <c r="B954" i="6"/>
  <c r="C954" i="6"/>
  <c r="E954" i="6"/>
  <c r="F954" i="6"/>
  <c r="B955" i="6"/>
  <c r="C955" i="6"/>
  <c r="E955" i="6"/>
  <c r="F955" i="6"/>
  <c r="B956" i="6"/>
  <c r="C956" i="6"/>
  <c r="E956" i="6"/>
  <c r="F956" i="6"/>
  <c r="B957" i="6"/>
  <c r="C957" i="6"/>
  <c r="E957" i="6"/>
  <c r="F957" i="6"/>
  <c r="B958" i="6"/>
  <c r="C958" i="6"/>
  <c r="E958" i="6"/>
  <c r="F958" i="6"/>
  <c r="B959" i="6"/>
  <c r="C959" i="6"/>
  <c r="E959" i="6"/>
  <c r="F959" i="6"/>
  <c r="B960" i="6"/>
  <c r="C960" i="6"/>
  <c r="E960" i="6"/>
  <c r="F960" i="6"/>
  <c r="B961" i="6"/>
  <c r="C961" i="6"/>
  <c r="E961" i="6"/>
  <c r="F961" i="6"/>
  <c r="B962" i="6"/>
  <c r="C962" i="6"/>
  <c r="E962" i="6"/>
  <c r="F962" i="6"/>
  <c r="B963" i="6"/>
  <c r="C963" i="6"/>
  <c r="E963" i="6"/>
  <c r="F963" i="6"/>
  <c r="B964" i="6"/>
  <c r="C964" i="6"/>
  <c r="E964" i="6"/>
  <c r="F964" i="6"/>
  <c r="B965" i="6"/>
  <c r="C965" i="6"/>
  <c r="E965" i="6"/>
  <c r="F965" i="6"/>
  <c r="B966" i="6"/>
  <c r="C966" i="6"/>
  <c r="E966" i="6"/>
  <c r="F966" i="6"/>
  <c r="B967" i="6"/>
  <c r="C967" i="6"/>
  <c r="E967" i="6"/>
  <c r="F967" i="6"/>
  <c r="B968" i="6"/>
  <c r="C968" i="6"/>
  <c r="E968" i="6"/>
  <c r="F968" i="6"/>
  <c r="B969" i="6"/>
  <c r="C969" i="6"/>
  <c r="E969" i="6"/>
  <c r="F969" i="6"/>
  <c r="B970" i="6"/>
  <c r="C970" i="6"/>
  <c r="E970" i="6"/>
  <c r="F970" i="6"/>
  <c r="B971" i="6"/>
  <c r="C971" i="6"/>
  <c r="E971" i="6"/>
  <c r="F971" i="6"/>
  <c r="B972" i="6"/>
  <c r="C972" i="6"/>
  <c r="E972" i="6"/>
  <c r="F972" i="6"/>
  <c r="B973" i="6"/>
  <c r="C973" i="6"/>
  <c r="E973" i="6"/>
  <c r="F973" i="6"/>
  <c r="B974" i="6"/>
  <c r="C974" i="6"/>
  <c r="E974" i="6"/>
  <c r="F974" i="6"/>
  <c r="B975" i="6"/>
  <c r="C975" i="6"/>
  <c r="E975" i="6"/>
  <c r="F975" i="6"/>
  <c r="B976" i="6"/>
  <c r="C976" i="6"/>
  <c r="E976" i="6"/>
  <c r="F976" i="6"/>
  <c r="B977" i="6"/>
  <c r="C977" i="6"/>
  <c r="E977" i="6"/>
  <c r="F977" i="6"/>
  <c r="B978" i="6"/>
  <c r="C978" i="6"/>
  <c r="E978" i="6"/>
  <c r="F978" i="6"/>
  <c r="B979" i="6"/>
  <c r="C979" i="6"/>
  <c r="E979" i="6"/>
  <c r="F979" i="6"/>
  <c r="B980" i="6"/>
  <c r="C980" i="6"/>
  <c r="E980" i="6"/>
  <c r="F980" i="6"/>
  <c r="B981" i="6"/>
  <c r="C981" i="6"/>
  <c r="E981" i="6"/>
  <c r="F981" i="6"/>
  <c r="B982" i="6"/>
  <c r="C982" i="6"/>
  <c r="E982" i="6"/>
  <c r="F982" i="6"/>
  <c r="B983" i="6"/>
  <c r="C983" i="6"/>
  <c r="E983" i="6"/>
  <c r="F983" i="6"/>
  <c r="B984" i="6"/>
  <c r="C984" i="6"/>
  <c r="E984" i="6"/>
  <c r="F984" i="6"/>
  <c r="B985" i="6"/>
  <c r="C985" i="6"/>
  <c r="E985" i="6"/>
  <c r="F985" i="6"/>
  <c r="B986" i="6"/>
  <c r="C986" i="6"/>
  <c r="E986" i="6"/>
  <c r="F986" i="6"/>
  <c r="B987" i="6"/>
  <c r="C987" i="6"/>
  <c r="E987" i="6"/>
  <c r="F987" i="6"/>
  <c r="B988" i="6"/>
  <c r="C988" i="6"/>
  <c r="E988" i="6"/>
  <c r="F988" i="6"/>
  <c r="B989" i="6"/>
  <c r="C989" i="6"/>
  <c r="E989" i="6"/>
  <c r="F989" i="6"/>
  <c r="B990" i="6"/>
  <c r="C990" i="6"/>
  <c r="E990" i="6"/>
  <c r="F990" i="6"/>
  <c r="B991" i="6"/>
  <c r="C991" i="6"/>
  <c r="E991" i="6"/>
  <c r="F991" i="6"/>
  <c r="B992" i="6"/>
  <c r="C992" i="6"/>
  <c r="E992" i="6"/>
  <c r="F992" i="6"/>
  <c r="B993" i="6"/>
  <c r="C993" i="6"/>
  <c r="D993" i="6"/>
  <c r="E993" i="6"/>
  <c r="F993" i="6"/>
  <c r="B994" i="6"/>
  <c r="C994" i="6"/>
  <c r="D994" i="6"/>
  <c r="E994" i="6"/>
  <c r="F994" i="6"/>
  <c r="B995" i="6"/>
  <c r="C995" i="6"/>
  <c r="D995" i="6"/>
  <c r="E995" i="6"/>
  <c r="F995" i="6"/>
  <c r="B996" i="6"/>
  <c r="C996" i="6"/>
  <c r="D996" i="6"/>
  <c r="E996" i="6"/>
  <c r="F996" i="6"/>
  <c r="B997" i="6"/>
  <c r="C997" i="6"/>
  <c r="D997" i="6"/>
  <c r="E997" i="6"/>
  <c r="F997" i="6"/>
  <c r="B998" i="6"/>
  <c r="C998" i="6"/>
  <c r="D998" i="6"/>
  <c r="E998" i="6"/>
  <c r="F998" i="6"/>
  <c r="B999" i="6"/>
  <c r="C999" i="6"/>
  <c r="D999" i="6"/>
  <c r="E999" i="6"/>
  <c r="F999" i="6"/>
  <c r="B1000" i="6"/>
  <c r="C1000" i="6"/>
  <c r="D1000" i="6"/>
  <c r="E1000" i="6"/>
  <c r="F1000" i="6"/>
  <c r="H993" i="6" l="1"/>
  <c r="H995" i="6"/>
  <c r="H254" i="6"/>
  <c r="H126" i="6"/>
  <c r="H623" i="6"/>
  <c r="H620" i="6"/>
  <c r="H615" i="6"/>
  <c r="H596" i="6"/>
  <c r="H428" i="6"/>
  <c r="H404" i="6"/>
  <c r="H187" i="6"/>
  <c r="H865" i="6"/>
  <c r="H849" i="6"/>
  <c r="H825" i="6"/>
  <c r="H622" i="6"/>
  <c r="H582" i="6"/>
  <c r="H262" i="6"/>
  <c r="H248" i="6"/>
  <c r="H208" i="6"/>
  <c r="H192" i="6"/>
  <c r="H547" i="6"/>
  <c r="H355" i="6"/>
  <c r="H331" i="6"/>
  <c r="H1000" i="6"/>
  <c r="H976" i="6"/>
  <c r="H932" i="6"/>
  <c r="H685" i="6"/>
  <c r="H669" i="6"/>
  <c r="H501" i="6"/>
  <c r="H477" i="6"/>
  <c r="H840" i="6"/>
  <c r="H816" i="6"/>
  <c r="H776" i="6"/>
  <c r="H752" i="6"/>
  <c r="H744" i="6"/>
  <c r="H740" i="6"/>
  <c r="H688" i="6"/>
  <c r="H312" i="6"/>
  <c r="H181" i="6"/>
  <c r="H985" i="6"/>
  <c r="H981" i="6"/>
  <c r="H969" i="6"/>
  <c r="H965" i="6"/>
  <c r="H929" i="6"/>
  <c r="H921" i="6"/>
  <c r="H905" i="6"/>
  <c r="H893" i="6"/>
  <c r="H801" i="6"/>
  <c r="H401" i="6"/>
  <c r="H393" i="6"/>
  <c r="H382" i="6"/>
  <c r="H337" i="6"/>
  <c r="H334" i="6"/>
  <c r="H329" i="6"/>
  <c r="H977" i="6"/>
  <c r="H961" i="6"/>
  <c r="H957" i="6"/>
  <c r="H917" i="6"/>
  <c r="H901" i="6"/>
  <c r="H897" i="6"/>
  <c r="H994" i="6"/>
  <c r="H990" i="6"/>
  <c r="H966" i="6"/>
  <c r="H942" i="6"/>
  <c r="H774" i="6"/>
  <c r="H726" i="6"/>
  <c r="H702" i="6"/>
  <c r="H446" i="6"/>
  <c r="H406" i="6"/>
  <c r="H190" i="6"/>
  <c r="H978" i="6"/>
  <c r="H975" i="6"/>
  <c r="H911" i="6"/>
  <c r="H871" i="6"/>
  <c r="H847" i="6"/>
  <c r="H783" i="6"/>
  <c r="H686" i="6"/>
  <c r="H638" i="6"/>
  <c r="H574" i="6"/>
  <c r="H566" i="6"/>
  <c r="H550" i="6"/>
  <c r="H546" i="6"/>
  <c r="H542" i="6"/>
  <c r="H538" i="6"/>
  <c r="H510" i="6"/>
  <c r="H502" i="6"/>
  <c r="H486" i="6"/>
  <c r="H482" i="6"/>
  <c r="H478" i="6"/>
  <c r="H474" i="6"/>
  <c r="H318" i="6"/>
  <c r="H238" i="6"/>
  <c r="H214" i="6"/>
  <c r="H523" i="6"/>
  <c r="H987" i="6"/>
  <c r="H679" i="6"/>
  <c r="H163" i="6"/>
  <c r="H972" i="6"/>
  <c r="H956" i="6"/>
  <c r="H937" i="6"/>
  <c r="H923" i="6"/>
  <c r="H883" i="6"/>
  <c r="H778" i="6"/>
  <c r="H738" i="6"/>
  <c r="H710" i="6"/>
  <c r="H706" i="6"/>
  <c r="H662" i="6"/>
  <c r="H593" i="6"/>
  <c r="H585" i="6"/>
  <c r="H558" i="6"/>
  <c r="H518" i="6"/>
  <c r="H504" i="6"/>
  <c r="H448" i="6"/>
  <c r="H437" i="6"/>
  <c r="H413" i="6"/>
  <c r="H367" i="6"/>
  <c r="H364" i="6"/>
  <c r="H359" i="6"/>
  <c r="H340" i="6"/>
  <c r="H319" i="6"/>
  <c r="H315" i="6"/>
  <c r="H291" i="6"/>
  <c r="H246" i="6"/>
  <c r="H242" i="6"/>
  <c r="H230" i="6"/>
  <c r="H226" i="6"/>
  <c r="H222" i="6"/>
  <c r="H218" i="6"/>
  <c r="H206" i="6"/>
  <c r="H174" i="6"/>
  <c r="H150" i="6"/>
  <c r="H952" i="6"/>
  <c r="H945" i="6"/>
  <c r="H944" i="6"/>
  <c r="H908" i="6"/>
  <c r="H892" i="6"/>
  <c r="H873" i="6"/>
  <c r="H868" i="6"/>
  <c r="H859" i="6"/>
  <c r="H819" i="6"/>
  <c r="H739" i="6"/>
  <c r="H715" i="6"/>
  <c r="H670" i="6"/>
  <c r="H666" i="6"/>
  <c r="H598" i="6"/>
  <c r="H529" i="6"/>
  <c r="H521" i="6"/>
  <c r="H494" i="6"/>
  <c r="H454" i="6"/>
  <c r="H440" i="6"/>
  <c r="H384" i="6"/>
  <c r="H373" i="6"/>
  <c r="H349" i="6"/>
  <c r="H303" i="6"/>
  <c r="H300" i="6"/>
  <c r="H295" i="6"/>
  <c r="H284" i="6"/>
  <c r="H255" i="6"/>
  <c r="H251" i="6"/>
  <c r="H227" i="6"/>
  <c r="H182" i="6"/>
  <c r="H178" i="6"/>
  <c r="H166" i="6"/>
  <c r="H162" i="6"/>
  <c r="H158" i="6"/>
  <c r="H154" i="6"/>
  <c r="H953" i="6"/>
  <c r="H904" i="6"/>
  <c r="H880" i="6"/>
  <c r="H828" i="6"/>
  <c r="H809" i="6"/>
  <c r="H804" i="6"/>
  <c r="H795" i="6"/>
  <c r="H755" i="6"/>
  <c r="H731" i="6"/>
  <c r="H719" i="6"/>
  <c r="H651" i="6"/>
  <c r="H630" i="6"/>
  <c r="H614" i="6"/>
  <c r="H610" i="6"/>
  <c r="H606" i="6"/>
  <c r="H602" i="6"/>
  <c r="H534" i="6"/>
  <c r="H465" i="6"/>
  <c r="H457" i="6"/>
  <c r="H430" i="6"/>
  <c r="H390" i="6"/>
  <c r="H376" i="6"/>
  <c r="H320" i="6"/>
  <c r="H309" i="6"/>
  <c r="H239" i="6"/>
  <c r="H236" i="6"/>
  <c r="H231" i="6"/>
  <c r="H220" i="6"/>
  <c r="H191" i="6"/>
  <c r="H913" i="6"/>
  <c r="H889" i="6"/>
  <c r="H881" i="6"/>
  <c r="H764" i="6"/>
  <c r="H709" i="6"/>
  <c r="H660" i="6"/>
  <c r="H611" i="6"/>
  <c r="H587" i="6"/>
  <c r="H470" i="6"/>
  <c r="H366" i="6"/>
  <c r="H326" i="6"/>
  <c r="H272" i="6"/>
  <c r="H256" i="6"/>
  <c r="H245" i="6"/>
  <c r="H175" i="6"/>
  <c r="H172" i="6"/>
  <c r="H167" i="6"/>
  <c r="H156" i="6"/>
  <c r="H123" i="6"/>
  <c r="H970" i="6"/>
  <c r="H930" i="6"/>
  <c r="H926" i="6"/>
  <c r="H902" i="6"/>
  <c r="H857" i="6"/>
  <c r="H853" i="6"/>
  <c r="H841" i="6"/>
  <c r="H833" i="6"/>
  <c r="H829" i="6"/>
  <c r="H817" i="6"/>
  <c r="H785" i="6"/>
  <c r="H761" i="6"/>
  <c r="H718" i="6"/>
  <c r="H694" i="6"/>
  <c r="H640" i="6"/>
  <c r="H629" i="6"/>
  <c r="H605" i="6"/>
  <c r="H559" i="6"/>
  <c r="H556" i="6"/>
  <c r="H551" i="6"/>
  <c r="H532" i="6"/>
  <c r="H483" i="6"/>
  <c r="H459" i="6"/>
  <c r="H438" i="6"/>
  <c r="H422" i="6"/>
  <c r="H418" i="6"/>
  <c r="H414" i="6"/>
  <c r="H410" i="6"/>
  <c r="H398" i="6"/>
  <c r="H342" i="6"/>
  <c r="H289" i="6"/>
  <c r="H273" i="6"/>
  <c r="H265" i="6"/>
  <c r="H198" i="6"/>
  <c r="H184" i="6"/>
  <c r="H144" i="6"/>
  <c r="H128" i="6"/>
  <c r="H914" i="6"/>
  <c r="H906" i="6"/>
  <c r="H866" i="6"/>
  <c r="H862" i="6"/>
  <c r="H838" i="6"/>
  <c r="H793" i="6"/>
  <c r="H789" i="6"/>
  <c r="H777" i="6"/>
  <c r="H769" i="6"/>
  <c r="H765" i="6"/>
  <c r="H753" i="6"/>
  <c r="H725" i="6"/>
  <c r="H678" i="6"/>
  <c r="H646" i="6"/>
  <c r="H632" i="6"/>
  <c r="H576" i="6"/>
  <c r="H565" i="6"/>
  <c r="H541" i="6"/>
  <c r="H495" i="6"/>
  <c r="H492" i="6"/>
  <c r="H487" i="6"/>
  <c r="H468" i="6"/>
  <c r="H419" i="6"/>
  <c r="H395" i="6"/>
  <c r="H374" i="6"/>
  <c r="H358" i="6"/>
  <c r="H354" i="6"/>
  <c r="H350" i="6"/>
  <c r="H346" i="6"/>
  <c r="H302" i="6"/>
  <c r="H278" i="6"/>
  <c r="H225" i="6"/>
  <c r="H209" i="6"/>
  <c r="H201" i="6"/>
  <c r="H134" i="6"/>
  <c r="H947" i="6"/>
  <c r="H931" i="6"/>
  <c r="H842" i="6"/>
  <c r="H807" i="6"/>
  <c r="H802" i="6"/>
  <c r="H798" i="6"/>
  <c r="H677" i="6"/>
  <c r="H657" i="6"/>
  <c r="H649" i="6"/>
  <c r="H568" i="6"/>
  <c r="H512" i="6"/>
  <c r="H431" i="6"/>
  <c r="H423" i="6"/>
  <c r="H310" i="6"/>
  <c r="H306" i="6"/>
  <c r="H294" i="6"/>
  <c r="H290" i="6"/>
  <c r="H286" i="6"/>
  <c r="H282" i="6"/>
  <c r="H161" i="6"/>
  <c r="H137" i="6"/>
  <c r="H996" i="6"/>
  <c r="H992" i="6"/>
  <c r="H979" i="6"/>
  <c r="H967" i="6"/>
  <c r="H962" i="6"/>
  <c r="H958" i="6"/>
  <c r="H949" i="6"/>
  <c r="H936" i="6"/>
  <c r="H924" i="6"/>
  <c r="H915" i="6"/>
  <c r="H903" i="6"/>
  <c r="H898" i="6"/>
  <c r="H894" i="6"/>
  <c r="H885" i="6"/>
  <c r="H872" i="6"/>
  <c r="H860" i="6"/>
  <c r="H851" i="6"/>
  <c r="H839" i="6"/>
  <c r="H834" i="6"/>
  <c r="H830" i="6"/>
  <c r="H821" i="6"/>
  <c r="H808" i="6"/>
  <c r="H796" i="6"/>
  <c r="H787" i="6"/>
  <c r="H775" i="6"/>
  <c r="H770" i="6"/>
  <c r="H766" i="6"/>
  <c r="H757" i="6"/>
  <c r="H741" i="6"/>
  <c r="H732" i="6"/>
  <c r="H716" i="6"/>
  <c r="H711" i="6"/>
  <c r="H654" i="6"/>
  <c r="H142" i="6"/>
  <c r="H988" i="6"/>
  <c r="H984" i="6"/>
  <c r="H980" i="6"/>
  <c r="H971" i="6"/>
  <c r="H959" i="6"/>
  <c r="H954" i="6"/>
  <c r="H950" i="6"/>
  <c r="H941" i="6"/>
  <c r="H928" i="6"/>
  <c r="H916" i="6"/>
  <c r="H907" i="6"/>
  <c r="H895" i="6"/>
  <c r="H890" i="6"/>
  <c r="H886" i="6"/>
  <c r="H877" i="6"/>
  <c r="H864" i="6"/>
  <c r="H852" i="6"/>
  <c r="H843" i="6"/>
  <c r="H831" i="6"/>
  <c r="H826" i="6"/>
  <c r="H822" i="6"/>
  <c r="H813" i="6"/>
  <c r="H800" i="6"/>
  <c r="H788" i="6"/>
  <c r="H779" i="6"/>
  <c r="H767" i="6"/>
  <c r="H762" i="6"/>
  <c r="H758" i="6"/>
  <c r="H749" i="6"/>
  <c r="H745" i="6"/>
  <c r="H728" i="6"/>
  <c r="H590" i="6"/>
  <c r="H997" i="6"/>
  <c r="H963" i="6"/>
  <c r="H951" i="6"/>
  <c r="H946" i="6"/>
  <c r="H933" i="6"/>
  <c r="H920" i="6"/>
  <c r="H899" i="6"/>
  <c r="H887" i="6"/>
  <c r="H882" i="6"/>
  <c r="H878" i="6"/>
  <c r="H869" i="6"/>
  <c r="H856" i="6"/>
  <c r="H844" i="6"/>
  <c r="H835" i="6"/>
  <c r="H823" i="6"/>
  <c r="H818" i="6"/>
  <c r="H814" i="6"/>
  <c r="H805" i="6"/>
  <c r="H792" i="6"/>
  <c r="H780" i="6"/>
  <c r="H771" i="6"/>
  <c r="H759" i="6"/>
  <c r="H754" i="6"/>
  <c r="H750" i="6"/>
  <c r="H526" i="6"/>
  <c r="H998" i="6"/>
  <c r="H989" i="6"/>
  <c r="H968" i="6"/>
  <c r="H964" i="6"/>
  <c r="H955" i="6"/>
  <c r="H943" i="6"/>
  <c r="H938" i="6"/>
  <c r="H934" i="6"/>
  <c r="H925" i="6"/>
  <c r="H912" i="6"/>
  <c r="H900" i="6"/>
  <c r="H891" i="6"/>
  <c r="H879" i="6"/>
  <c r="H874" i="6"/>
  <c r="H870" i="6"/>
  <c r="H861" i="6"/>
  <c r="H848" i="6"/>
  <c r="H836" i="6"/>
  <c r="H827" i="6"/>
  <c r="H815" i="6"/>
  <c r="H810" i="6"/>
  <c r="H806" i="6"/>
  <c r="H797" i="6"/>
  <c r="H784" i="6"/>
  <c r="H772" i="6"/>
  <c r="H763" i="6"/>
  <c r="H751" i="6"/>
  <c r="H742" i="6"/>
  <c r="H734" i="6"/>
  <c r="H462" i="6"/>
  <c r="H935" i="6"/>
  <c r="H999" i="6"/>
  <c r="H991" i="6"/>
  <c r="H986" i="6"/>
  <c r="H982" i="6"/>
  <c r="H973" i="6"/>
  <c r="H960" i="6"/>
  <c r="H948" i="6"/>
  <c r="H939" i="6"/>
  <c r="H927" i="6"/>
  <c r="H922" i="6"/>
  <c r="H918" i="6"/>
  <c r="H909" i="6"/>
  <c r="H896" i="6"/>
  <c r="H884" i="6"/>
  <c r="H875" i="6"/>
  <c r="H863" i="6"/>
  <c r="H858" i="6"/>
  <c r="H854" i="6"/>
  <c r="H845" i="6"/>
  <c r="H832" i="6"/>
  <c r="H820" i="6"/>
  <c r="H811" i="6"/>
  <c r="H799" i="6"/>
  <c r="H794" i="6"/>
  <c r="H790" i="6"/>
  <c r="H781" i="6"/>
  <c r="H768" i="6"/>
  <c r="H756" i="6"/>
  <c r="H747" i="6"/>
  <c r="H701" i="6"/>
  <c r="H697" i="6"/>
  <c r="H983" i="6"/>
  <c r="H974" i="6"/>
  <c r="H940" i="6"/>
  <c r="H919" i="6"/>
  <c r="H910" i="6"/>
  <c r="H888" i="6"/>
  <c r="H876" i="6"/>
  <c r="H867" i="6"/>
  <c r="H855" i="6"/>
  <c r="H850" i="6"/>
  <c r="H846" i="6"/>
  <c r="H837" i="6"/>
  <c r="H824" i="6"/>
  <c r="H812" i="6"/>
  <c r="H803" i="6"/>
  <c r="H791" i="6"/>
  <c r="H786" i="6"/>
  <c r="H782" i="6"/>
  <c r="H773" i="6"/>
  <c r="H760" i="6"/>
  <c r="H736" i="6"/>
  <c r="H735" i="6"/>
  <c r="H270" i="6"/>
  <c r="H746" i="6"/>
  <c r="H737" i="6"/>
  <c r="H733" i="6"/>
  <c r="H729" i="6"/>
  <c r="H720" i="6"/>
  <c r="H717" i="6"/>
  <c r="H689" i="6"/>
  <c r="H680" i="6"/>
  <c r="H676" i="6"/>
  <c r="H671" i="6"/>
  <c r="H667" i="6"/>
  <c r="H658" i="6"/>
  <c r="H641" i="6"/>
  <c r="H624" i="6"/>
  <c r="H621" i="6"/>
  <c r="H612" i="6"/>
  <c r="H607" i="6"/>
  <c r="H603" i="6"/>
  <c r="H594" i="6"/>
  <c r="H577" i="6"/>
  <c r="H560" i="6"/>
  <c r="H557" i="6"/>
  <c r="H548" i="6"/>
  <c r="H543" i="6"/>
  <c r="H539" i="6"/>
  <c r="H530" i="6"/>
  <c r="H513" i="6"/>
  <c r="H496" i="6"/>
  <c r="H493" i="6"/>
  <c r="H484" i="6"/>
  <c r="H479" i="6"/>
  <c r="H475" i="6"/>
  <c r="H466" i="6"/>
  <c r="H449" i="6"/>
  <c r="H432" i="6"/>
  <c r="H429" i="6"/>
  <c r="H420" i="6"/>
  <c r="H415" i="6"/>
  <c r="H411" i="6"/>
  <c r="H402" i="6"/>
  <c r="H385" i="6"/>
  <c r="H368" i="6"/>
  <c r="H365" i="6"/>
  <c r="H356" i="6"/>
  <c r="H351" i="6"/>
  <c r="H347" i="6"/>
  <c r="H338" i="6"/>
  <c r="H321" i="6"/>
  <c r="H304" i="6"/>
  <c r="H301" i="6"/>
  <c r="H292" i="6"/>
  <c r="H287" i="6"/>
  <c r="H283" i="6"/>
  <c r="H274" i="6"/>
  <c r="H257" i="6"/>
  <c r="H240" i="6"/>
  <c r="H237" i="6"/>
  <c r="H228" i="6"/>
  <c r="H223" i="6"/>
  <c r="H219" i="6"/>
  <c r="H210" i="6"/>
  <c r="H193" i="6"/>
  <c r="H176" i="6"/>
  <c r="H173" i="6"/>
  <c r="H164" i="6"/>
  <c r="H159" i="6"/>
  <c r="H155" i="6"/>
  <c r="H146" i="6"/>
  <c r="H129" i="6"/>
  <c r="H712" i="6"/>
  <c r="H708" i="6"/>
  <c r="H703" i="6"/>
  <c r="H698" i="6"/>
  <c r="H668" i="6"/>
  <c r="H663" i="6"/>
  <c r="H659" i="6"/>
  <c r="H650" i="6"/>
  <c r="H633" i="6"/>
  <c r="H616" i="6"/>
  <c r="H613" i="6"/>
  <c r="H604" i="6"/>
  <c r="H599" i="6"/>
  <c r="H595" i="6"/>
  <c r="H586" i="6"/>
  <c r="H569" i="6"/>
  <c r="H552" i="6"/>
  <c r="H549" i="6"/>
  <c r="H540" i="6"/>
  <c r="H535" i="6"/>
  <c r="H531" i="6"/>
  <c r="H522" i="6"/>
  <c r="H505" i="6"/>
  <c r="H488" i="6"/>
  <c r="H485" i="6"/>
  <c r="H476" i="6"/>
  <c r="H471" i="6"/>
  <c r="H467" i="6"/>
  <c r="H458" i="6"/>
  <c r="H441" i="6"/>
  <c r="H424" i="6"/>
  <c r="H421" i="6"/>
  <c r="H412" i="6"/>
  <c r="H407" i="6"/>
  <c r="H403" i="6"/>
  <c r="H394" i="6"/>
  <c r="H377" i="6"/>
  <c r="H360" i="6"/>
  <c r="H357" i="6"/>
  <c r="H348" i="6"/>
  <c r="H343" i="6"/>
  <c r="H339" i="6"/>
  <c r="H330" i="6"/>
  <c r="H313" i="6"/>
  <c r="H296" i="6"/>
  <c r="H293" i="6"/>
  <c r="H279" i="6"/>
  <c r="H275" i="6"/>
  <c r="H266" i="6"/>
  <c r="H249" i="6"/>
  <c r="H232" i="6"/>
  <c r="H229" i="6"/>
  <c r="H215" i="6"/>
  <c r="H211" i="6"/>
  <c r="H202" i="6"/>
  <c r="H185" i="6"/>
  <c r="H168" i="6"/>
  <c r="H165" i="6"/>
  <c r="H151" i="6"/>
  <c r="H147" i="6"/>
  <c r="H138" i="6"/>
  <c r="H121" i="6"/>
  <c r="H690" i="6"/>
  <c r="H681" i="6"/>
  <c r="H672" i="6"/>
  <c r="H655" i="6"/>
  <c r="H642" i="6"/>
  <c r="H625" i="6"/>
  <c r="H608" i="6"/>
  <c r="H591" i="6"/>
  <c r="H578" i="6"/>
  <c r="H561" i="6"/>
  <c r="H544" i="6"/>
  <c r="H527" i="6"/>
  <c r="H514" i="6"/>
  <c r="H497" i="6"/>
  <c r="H480" i="6"/>
  <c r="H463" i="6"/>
  <c r="H450" i="6"/>
  <c r="H433" i="6"/>
  <c r="H416" i="6"/>
  <c r="H399" i="6"/>
  <c r="H386" i="6"/>
  <c r="H369" i="6"/>
  <c r="H352" i="6"/>
  <c r="H335" i="6"/>
  <c r="H322" i="6"/>
  <c r="H305" i="6"/>
  <c r="H288" i="6"/>
  <c r="H285" i="6"/>
  <c r="H276" i="6"/>
  <c r="H271" i="6"/>
  <c r="H267" i="6"/>
  <c r="H258" i="6"/>
  <c r="H241" i="6"/>
  <c r="H224" i="6"/>
  <c r="H221" i="6"/>
  <c r="H212" i="6"/>
  <c r="H207" i="6"/>
  <c r="H203" i="6"/>
  <c r="H194" i="6"/>
  <c r="H177" i="6"/>
  <c r="H160" i="6"/>
  <c r="H157" i="6"/>
  <c r="H148" i="6"/>
  <c r="H143" i="6"/>
  <c r="H139" i="6"/>
  <c r="H130" i="6"/>
  <c r="H748" i="6"/>
  <c r="H704" i="6"/>
  <c r="H700" i="6"/>
  <c r="H695" i="6"/>
  <c r="H664" i="6"/>
  <c r="H661" i="6"/>
  <c r="H652" i="6"/>
  <c r="H647" i="6"/>
  <c r="H643" i="6"/>
  <c r="H634" i="6"/>
  <c r="H617" i="6"/>
  <c r="H600" i="6"/>
  <c r="H597" i="6"/>
  <c r="H588" i="6"/>
  <c r="H583" i="6"/>
  <c r="H579" i="6"/>
  <c r="H570" i="6"/>
  <c r="H553" i="6"/>
  <c r="H536" i="6"/>
  <c r="H533" i="6"/>
  <c r="H524" i="6"/>
  <c r="H519" i="6"/>
  <c r="H515" i="6"/>
  <c r="H506" i="6"/>
  <c r="H489" i="6"/>
  <c r="H472" i="6"/>
  <c r="H469" i="6"/>
  <c r="H460" i="6"/>
  <c r="H455" i="6"/>
  <c r="H451" i="6"/>
  <c r="H442" i="6"/>
  <c r="H425" i="6"/>
  <c r="H408" i="6"/>
  <c r="H405" i="6"/>
  <c r="H396" i="6"/>
  <c r="H391" i="6"/>
  <c r="H387" i="6"/>
  <c r="H378" i="6"/>
  <c r="H361" i="6"/>
  <c r="H344" i="6"/>
  <c r="H341" i="6"/>
  <c r="H332" i="6"/>
  <c r="H327" i="6"/>
  <c r="H323" i="6"/>
  <c r="H314" i="6"/>
  <c r="H297" i="6"/>
  <c r="H280" i="6"/>
  <c r="H277" i="6"/>
  <c r="H268" i="6"/>
  <c r="H263" i="6"/>
  <c r="H259" i="6"/>
  <c r="H250" i="6"/>
  <c r="H233" i="6"/>
  <c r="H216" i="6"/>
  <c r="H213" i="6"/>
  <c r="H204" i="6"/>
  <c r="H199" i="6"/>
  <c r="H195" i="6"/>
  <c r="H186" i="6"/>
  <c r="H169" i="6"/>
  <c r="H152" i="6"/>
  <c r="H149" i="6"/>
  <c r="H140" i="6"/>
  <c r="H135" i="6"/>
  <c r="H131" i="6"/>
  <c r="H122" i="6"/>
  <c r="H723" i="6"/>
  <c r="H722" i="6"/>
  <c r="H692" i="6"/>
  <c r="H687" i="6"/>
  <c r="H682" i="6"/>
  <c r="H673" i="6"/>
  <c r="H656" i="6"/>
  <c r="H653" i="6"/>
  <c r="H644" i="6"/>
  <c r="H639" i="6"/>
  <c r="H635" i="6"/>
  <c r="H626" i="6"/>
  <c r="H609" i="6"/>
  <c r="H592" i="6"/>
  <c r="H589" i="6"/>
  <c r="H580" i="6"/>
  <c r="H575" i="6"/>
  <c r="H571" i="6"/>
  <c r="H562" i="6"/>
  <c r="H545" i="6"/>
  <c r="H528" i="6"/>
  <c r="H525" i="6"/>
  <c r="H516" i="6"/>
  <c r="H511" i="6"/>
  <c r="H507" i="6"/>
  <c r="H498" i="6"/>
  <c r="H481" i="6"/>
  <c r="H464" i="6"/>
  <c r="H461" i="6"/>
  <c r="H452" i="6"/>
  <c r="H447" i="6"/>
  <c r="H443" i="6"/>
  <c r="H434" i="6"/>
  <c r="H417" i="6"/>
  <c r="H400" i="6"/>
  <c r="H397" i="6"/>
  <c r="H388" i="6"/>
  <c r="H383" i="6"/>
  <c r="H379" i="6"/>
  <c r="H370" i="6"/>
  <c r="H353" i="6"/>
  <c r="H336" i="6"/>
  <c r="H333" i="6"/>
  <c r="H324" i="6"/>
  <c r="H269" i="6"/>
  <c r="H260" i="6"/>
  <c r="H205" i="6"/>
  <c r="H196" i="6"/>
  <c r="H141" i="6"/>
  <c r="H132" i="6"/>
  <c r="H127" i="6"/>
  <c r="H727" i="6"/>
  <c r="H724" i="6"/>
  <c r="H714" i="6"/>
  <c r="H705" i="6"/>
  <c r="H696" i="6"/>
  <c r="H693" i="6"/>
  <c r="H683" i="6"/>
  <c r="H665" i="6"/>
  <c r="H648" i="6"/>
  <c r="H645" i="6"/>
  <c r="H636" i="6"/>
  <c r="H631" i="6"/>
  <c r="H627" i="6"/>
  <c r="H618" i="6"/>
  <c r="H601" i="6"/>
  <c r="H584" i="6"/>
  <c r="H581" i="6"/>
  <c r="H572" i="6"/>
  <c r="H567" i="6"/>
  <c r="H563" i="6"/>
  <c r="H554" i="6"/>
  <c r="H537" i="6"/>
  <c r="H520" i="6"/>
  <c r="H517" i="6"/>
  <c r="H508" i="6"/>
  <c r="H503" i="6"/>
  <c r="H499" i="6"/>
  <c r="H490" i="6"/>
  <c r="H473" i="6"/>
  <c r="H456" i="6"/>
  <c r="H453" i="6"/>
  <c r="H444" i="6"/>
  <c r="H439" i="6"/>
  <c r="H435" i="6"/>
  <c r="H426" i="6"/>
  <c r="H409" i="6"/>
  <c r="H392" i="6"/>
  <c r="H389" i="6"/>
  <c r="H380" i="6"/>
  <c r="H375" i="6"/>
  <c r="H371" i="6"/>
  <c r="H362" i="6"/>
  <c r="H345" i="6"/>
  <c r="H328" i="6"/>
  <c r="H325" i="6"/>
  <c r="H316" i="6"/>
  <c r="H311" i="6"/>
  <c r="H307" i="6"/>
  <c r="H298" i="6"/>
  <c r="H281" i="6"/>
  <c r="H264" i="6"/>
  <c r="H261" i="6"/>
  <c r="H252" i="6"/>
  <c r="H247" i="6"/>
  <c r="H243" i="6"/>
  <c r="H234" i="6"/>
  <c r="H217" i="6"/>
  <c r="H200" i="6"/>
  <c r="H197" i="6"/>
  <c r="H188" i="6"/>
  <c r="H183" i="6"/>
  <c r="H179" i="6"/>
  <c r="H170" i="6"/>
  <c r="H153" i="6"/>
  <c r="H136" i="6"/>
  <c r="H133" i="6"/>
  <c r="H124" i="6"/>
  <c r="H684" i="6"/>
  <c r="H637" i="6"/>
  <c r="H628" i="6"/>
  <c r="H619" i="6"/>
  <c r="H573" i="6"/>
  <c r="H564" i="6"/>
  <c r="H555" i="6"/>
  <c r="H509" i="6"/>
  <c r="H500" i="6"/>
  <c r="H491" i="6"/>
  <c r="H445" i="6"/>
  <c r="H436" i="6"/>
  <c r="H427" i="6"/>
  <c r="H381" i="6"/>
  <c r="H372" i="6"/>
  <c r="H363" i="6"/>
  <c r="H317" i="6"/>
  <c r="H308" i="6"/>
  <c r="H299" i="6"/>
  <c r="H253" i="6"/>
  <c r="H244" i="6"/>
  <c r="H235" i="6"/>
  <c r="H189" i="6"/>
  <c r="H180" i="6"/>
  <c r="H171" i="6"/>
  <c r="H145" i="6"/>
  <c r="H125" i="6"/>
  <c r="H743" i="6"/>
  <c r="H699" i="6"/>
  <c r="H730" i="6"/>
  <c r="H713" i="6"/>
  <c r="H691" i="6"/>
  <c r="H721" i="6"/>
  <c r="H674" i="6"/>
  <c r="H707" i="6"/>
  <c r="H675" i="6"/>
  <c r="A10" i="2" l="1"/>
  <c r="A11" i="2" l="1"/>
  <c r="B13" i="6" s="1"/>
  <c r="F9" i="6"/>
  <c r="D9" i="6"/>
  <c r="A1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G41" i="6" s="1"/>
  <c r="AY40" i="2"/>
  <c r="G42" i="6" s="1"/>
  <c r="AY41" i="2"/>
  <c r="G43" i="6" s="1"/>
  <c r="AY42" i="2"/>
  <c r="G44" i="6" s="1"/>
  <c r="AY43" i="2"/>
  <c r="G45" i="6" s="1"/>
  <c r="AY44" i="2"/>
  <c r="G46" i="6" s="1"/>
  <c r="AY45" i="2"/>
  <c r="G47" i="6" s="1"/>
  <c r="AY46" i="2"/>
  <c r="G48" i="6" s="1"/>
  <c r="AY47" i="2"/>
  <c r="G49" i="6" s="1"/>
  <c r="AY48" i="2"/>
  <c r="G50" i="6" s="1"/>
  <c r="AY49" i="2"/>
  <c r="G51" i="6" s="1"/>
  <c r="AY50" i="2"/>
  <c r="G52" i="6" s="1"/>
  <c r="AY51" i="2"/>
  <c r="G53" i="6" s="1"/>
  <c r="AY52" i="2"/>
  <c r="G54" i="6" s="1"/>
  <c r="AY53" i="2"/>
  <c r="G55" i="6" s="1"/>
  <c r="AY54" i="2"/>
  <c r="G56" i="6" s="1"/>
  <c r="AY55" i="2"/>
  <c r="G57" i="6" s="1"/>
  <c r="AY56" i="2"/>
  <c r="G58" i="6" s="1"/>
  <c r="AY57" i="2"/>
  <c r="G59" i="6" s="1"/>
  <c r="AY58" i="2"/>
  <c r="G60" i="6" s="1"/>
  <c r="AY59" i="2"/>
  <c r="G61" i="6" s="1"/>
  <c r="AY60" i="2"/>
  <c r="G62" i="6" s="1"/>
  <c r="AY61" i="2"/>
  <c r="G63" i="6" s="1"/>
  <c r="AY62" i="2"/>
  <c r="G64" i="6" s="1"/>
  <c r="AY63" i="2"/>
  <c r="G65" i="6" s="1"/>
  <c r="AY64" i="2"/>
  <c r="G66" i="6" s="1"/>
  <c r="AY65" i="2"/>
  <c r="G67" i="6" s="1"/>
  <c r="AY66" i="2"/>
  <c r="G68" i="6" s="1"/>
  <c r="AY67" i="2"/>
  <c r="G69" i="6" s="1"/>
  <c r="AY68" i="2"/>
  <c r="G70" i="6" s="1"/>
  <c r="AY69" i="2"/>
  <c r="G71" i="6" s="1"/>
  <c r="AY70" i="2"/>
  <c r="G72" i="6" s="1"/>
  <c r="AY71" i="2"/>
  <c r="G73" i="6" s="1"/>
  <c r="AY72" i="2"/>
  <c r="G74" i="6" s="1"/>
  <c r="AY73" i="2"/>
  <c r="G75" i="6" s="1"/>
  <c r="AY74" i="2"/>
  <c r="G76" i="6" s="1"/>
  <c r="AY75" i="2"/>
  <c r="G77" i="6" s="1"/>
  <c r="AY76" i="2"/>
  <c r="G78" i="6" s="1"/>
  <c r="AY77" i="2"/>
  <c r="G79" i="6" s="1"/>
  <c r="AY78" i="2"/>
  <c r="G80" i="6" s="1"/>
  <c r="AY79" i="2"/>
  <c r="G81" i="6" s="1"/>
  <c r="AY80" i="2"/>
  <c r="G82" i="6" s="1"/>
  <c r="AY81" i="2"/>
  <c r="G83" i="6" s="1"/>
  <c r="AY82" i="2"/>
  <c r="G84" i="6" s="1"/>
  <c r="AY83" i="2"/>
  <c r="G85" i="6" s="1"/>
  <c r="AY84" i="2"/>
  <c r="G86" i="6" s="1"/>
  <c r="AY85" i="2"/>
  <c r="G87" i="6" s="1"/>
  <c r="AY86" i="2"/>
  <c r="G88" i="6" s="1"/>
  <c r="AY87" i="2"/>
  <c r="G89" i="6" s="1"/>
  <c r="AY88" i="2"/>
  <c r="G90" i="6" s="1"/>
  <c r="AY89" i="2"/>
  <c r="G91" i="6" s="1"/>
  <c r="AY90" i="2"/>
  <c r="G92" i="6" s="1"/>
  <c r="AY91" i="2"/>
  <c r="G93" i="6" s="1"/>
  <c r="AY92" i="2"/>
  <c r="G94" i="6" s="1"/>
  <c r="AY93" i="2"/>
  <c r="G95" i="6" s="1"/>
  <c r="AY94" i="2"/>
  <c r="G96" i="6" s="1"/>
  <c r="AY95" i="2"/>
  <c r="G97" i="6" s="1"/>
  <c r="AY96" i="2"/>
  <c r="G98" i="6" s="1"/>
  <c r="AY97" i="2"/>
  <c r="G99" i="6" s="1"/>
  <c r="AY98" i="2"/>
  <c r="G100" i="6" s="1"/>
  <c r="AY99" i="2"/>
  <c r="G101" i="6" s="1"/>
  <c r="AY100" i="2"/>
  <c r="G102" i="6" s="1"/>
  <c r="AY101" i="2"/>
  <c r="G103" i="6" s="1"/>
  <c r="AY102" i="2"/>
  <c r="G104" i="6" s="1"/>
  <c r="AY103" i="2"/>
  <c r="G105" i="6" s="1"/>
  <c r="AY104" i="2"/>
  <c r="G106" i="6" s="1"/>
  <c r="AY105" i="2"/>
  <c r="G107" i="6" s="1"/>
  <c r="AY106" i="2"/>
  <c r="G108" i="6" s="1"/>
  <c r="AY107" i="2"/>
  <c r="G109" i="6" s="1"/>
  <c r="AY108" i="2"/>
  <c r="G110" i="6" s="1"/>
  <c r="AY109" i="2"/>
  <c r="G111" i="6" s="1"/>
  <c r="AY110" i="2"/>
  <c r="G112" i="6" s="1"/>
  <c r="AY111" i="2"/>
  <c r="G113" i="6" s="1"/>
  <c r="AY112" i="2"/>
  <c r="G114" i="6" s="1"/>
  <c r="AY113" i="2"/>
  <c r="G115" i="6" s="1"/>
  <c r="AY114" i="2"/>
  <c r="G116" i="6" s="1"/>
  <c r="AY115" i="2"/>
  <c r="G117" i="6" s="1"/>
  <c r="AY116" i="2"/>
  <c r="G118" i="6" s="1"/>
  <c r="AY117" i="2"/>
  <c r="G119" i="6" s="1"/>
  <c r="AY118" i="2"/>
  <c r="G120" i="6" s="1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E41" i="6" s="1"/>
  <c r="AR40" i="2"/>
  <c r="E42" i="6" s="1"/>
  <c r="AR41" i="2"/>
  <c r="E43" i="6" s="1"/>
  <c r="AR42" i="2"/>
  <c r="E44" i="6" s="1"/>
  <c r="AR43" i="2"/>
  <c r="E45" i="6" s="1"/>
  <c r="AR44" i="2"/>
  <c r="E46" i="6" s="1"/>
  <c r="AR45" i="2"/>
  <c r="E47" i="6" s="1"/>
  <c r="AR46" i="2"/>
  <c r="E48" i="6" s="1"/>
  <c r="AR47" i="2"/>
  <c r="E49" i="6" s="1"/>
  <c r="AR48" i="2"/>
  <c r="E50" i="6" s="1"/>
  <c r="AR49" i="2"/>
  <c r="E51" i="6" s="1"/>
  <c r="AR50" i="2"/>
  <c r="E52" i="6" s="1"/>
  <c r="AR51" i="2"/>
  <c r="E53" i="6" s="1"/>
  <c r="AR52" i="2"/>
  <c r="E54" i="6" s="1"/>
  <c r="AR53" i="2"/>
  <c r="E55" i="6" s="1"/>
  <c r="AR54" i="2"/>
  <c r="E56" i="6" s="1"/>
  <c r="AR55" i="2"/>
  <c r="E57" i="6" s="1"/>
  <c r="AR56" i="2"/>
  <c r="E58" i="6" s="1"/>
  <c r="AR57" i="2"/>
  <c r="E59" i="6" s="1"/>
  <c r="AR58" i="2"/>
  <c r="E60" i="6" s="1"/>
  <c r="AR59" i="2"/>
  <c r="E61" i="6" s="1"/>
  <c r="AR60" i="2"/>
  <c r="E62" i="6" s="1"/>
  <c r="AR61" i="2"/>
  <c r="E63" i="6" s="1"/>
  <c r="AR62" i="2"/>
  <c r="E64" i="6" s="1"/>
  <c r="AR63" i="2"/>
  <c r="E65" i="6" s="1"/>
  <c r="AR64" i="2"/>
  <c r="E66" i="6" s="1"/>
  <c r="AR65" i="2"/>
  <c r="E67" i="6" s="1"/>
  <c r="AR66" i="2"/>
  <c r="E68" i="6" s="1"/>
  <c r="AR67" i="2"/>
  <c r="E69" i="6" s="1"/>
  <c r="AR68" i="2"/>
  <c r="E70" i="6" s="1"/>
  <c r="AR69" i="2"/>
  <c r="E71" i="6" s="1"/>
  <c r="AR70" i="2"/>
  <c r="E72" i="6" s="1"/>
  <c r="AR71" i="2"/>
  <c r="E73" i="6" s="1"/>
  <c r="AR72" i="2"/>
  <c r="E74" i="6" s="1"/>
  <c r="AR73" i="2"/>
  <c r="E75" i="6" s="1"/>
  <c r="AR74" i="2"/>
  <c r="E76" i="6" s="1"/>
  <c r="AR75" i="2"/>
  <c r="E77" i="6" s="1"/>
  <c r="AR76" i="2"/>
  <c r="E78" i="6" s="1"/>
  <c r="AR77" i="2"/>
  <c r="E79" i="6" s="1"/>
  <c r="AR78" i="2"/>
  <c r="E80" i="6" s="1"/>
  <c r="AR79" i="2"/>
  <c r="E81" i="6" s="1"/>
  <c r="AR80" i="2"/>
  <c r="E82" i="6" s="1"/>
  <c r="AR81" i="2"/>
  <c r="E83" i="6" s="1"/>
  <c r="AR82" i="2"/>
  <c r="E84" i="6" s="1"/>
  <c r="AR83" i="2"/>
  <c r="E85" i="6" s="1"/>
  <c r="AR84" i="2"/>
  <c r="E86" i="6" s="1"/>
  <c r="AR85" i="2"/>
  <c r="E87" i="6" s="1"/>
  <c r="AR86" i="2"/>
  <c r="E88" i="6" s="1"/>
  <c r="AR87" i="2"/>
  <c r="E89" i="6" s="1"/>
  <c r="AR88" i="2"/>
  <c r="E90" i="6" s="1"/>
  <c r="AR89" i="2"/>
  <c r="E91" i="6" s="1"/>
  <c r="AR90" i="2"/>
  <c r="E92" i="6" s="1"/>
  <c r="AR91" i="2"/>
  <c r="E93" i="6" s="1"/>
  <c r="AR92" i="2"/>
  <c r="E94" i="6" s="1"/>
  <c r="AR93" i="2"/>
  <c r="E95" i="6" s="1"/>
  <c r="AR94" i="2"/>
  <c r="E96" i="6" s="1"/>
  <c r="AR95" i="2"/>
  <c r="E97" i="6" s="1"/>
  <c r="AR96" i="2"/>
  <c r="E98" i="6" s="1"/>
  <c r="AR97" i="2"/>
  <c r="E99" i="6" s="1"/>
  <c r="AR98" i="2"/>
  <c r="E100" i="6" s="1"/>
  <c r="AR99" i="2"/>
  <c r="E101" i="6" s="1"/>
  <c r="AR100" i="2"/>
  <c r="E102" i="6" s="1"/>
  <c r="AR101" i="2"/>
  <c r="E103" i="6" s="1"/>
  <c r="AR102" i="2"/>
  <c r="E104" i="6" s="1"/>
  <c r="AR103" i="2"/>
  <c r="E105" i="6" s="1"/>
  <c r="AR104" i="2"/>
  <c r="E106" i="6" s="1"/>
  <c r="AR105" i="2"/>
  <c r="E107" i="6" s="1"/>
  <c r="AR106" i="2"/>
  <c r="E108" i="6" s="1"/>
  <c r="AR107" i="2"/>
  <c r="E109" i="6" s="1"/>
  <c r="AR108" i="2"/>
  <c r="E110" i="6" s="1"/>
  <c r="AR109" i="2"/>
  <c r="E111" i="6" s="1"/>
  <c r="AR110" i="2"/>
  <c r="E112" i="6" s="1"/>
  <c r="AR111" i="2"/>
  <c r="E113" i="6" s="1"/>
  <c r="AR112" i="2"/>
  <c r="E114" i="6" s="1"/>
  <c r="AR113" i="2"/>
  <c r="E115" i="6" s="1"/>
  <c r="AR114" i="2"/>
  <c r="E116" i="6" s="1"/>
  <c r="AR115" i="2"/>
  <c r="E117" i="6" s="1"/>
  <c r="AR116" i="2"/>
  <c r="E118" i="6" s="1"/>
  <c r="AR117" i="2"/>
  <c r="E119" i="6" s="1"/>
  <c r="AR118" i="2"/>
  <c r="E120" i="6" s="1"/>
  <c r="AK10" i="2"/>
  <c r="AK11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D41" i="6" s="1"/>
  <c r="AK40" i="2"/>
  <c r="D42" i="6" s="1"/>
  <c r="AK41" i="2"/>
  <c r="D43" i="6" s="1"/>
  <c r="H43" i="6" s="1"/>
  <c r="AK42" i="2"/>
  <c r="D44" i="6" s="1"/>
  <c r="H44" i="6" s="1"/>
  <c r="AK43" i="2"/>
  <c r="D45" i="6" s="1"/>
  <c r="H45" i="6" s="1"/>
  <c r="AK44" i="2"/>
  <c r="D46" i="6" s="1"/>
  <c r="AK45" i="2"/>
  <c r="D47" i="6" s="1"/>
  <c r="AK46" i="2"/>
  <c r="D48" i="6" s="1"/>
  <c r="AK47" i="2"/>
  <c r="D49" i="6" s="1"/>
  <c r="AK48" i="2"/>
  <c r="D50" i="6" s="1"/>
  <c r="AK49" i="2"/>
  <c r="D51" i="6" s="1"/>
  <c r="H51" i="6" s="1"/>
  <c r="AK50" i="2"/>
  <c r="D52" i="6" s="1"/>
  <c r="AK51" i="2"/>
  <c r="D53" i="6" s="1"/>
  <c r="AK52" i="2"/>
  <c r="D54" i="6" s="1"/>
  <c r="AK53" i="2"/>
  <c r="D55" i="6" s="1"/>
  <c r="H55" i="6" s="1"/>
  <c r="AK54" i="2"/>
  <c r="D56" i="6" s="1"/>
  <c r="H56" i="6" s="1"/>
  <c r="AK55" i="2"/>
  <c r="D57" i="6" s="1"/>
  <c r="H57" i="6" s="1"/>
  <c r="AK56" i="2"/>
  <c r="D58" i="6" s="1"/>
  <c r="AK57" i="2"/>
  <c r="D59" i="6" s="1"/>
  <c r="AK58" i="2"/>
  <c r="D60" i="6" s="1"/>
  <c r="AK59" i="2"/>
  <c r="D61" i="6" s="1"/>
  <c r="AK60" i="2"/>
  <c r="D62" i="6" s="1"/>
  <c r="AK61" i="2"/>
  <c r="D63" i="6" s="1"/>
  <c r="H63" i="6" s="1"/>
  <c r="AK62" i="2"/>
  <c r="D64" i="6" s="1"/>
  <c r="AK63" i="2"/>
  <c r="D65" i="6" s="1"/>
  <c r="AK64" i="2"/>
  <c r="D66" i="6" s="1"/>
  <c r="AK65" i="2"/>
  <c r="D67" i="6" s="1"/>
  <c r="H67" i="6" s="1"/>
  <c r="AK66" i="2"/>
  <c r="D68" i="6" s="1"/>
  <c r="H68" i="6" s="1"/>
  <c r="AK67" i="2"/>
  <c r="D69" i="6" s="1"/>
  <c r="H69" i="6" s="1"/>
  <c r="AK68" i="2"/>
  <c r="D70" i="6" s="1"/>
  <c r="AK69" i="2"/>
  <c r="D71" i="6" s="1"/>
  <c r="AK70" i="2"/>
  <c r="D72" i="6" s="1"/>
  <c r="AK71" i="2"/>
  <c r="D73" i="6" s="1"/>
  <c r="AK72" i="2"/>
  <c r="D74" i="6" s="1"/>
  <c r="AK73" i="2"/>
  <c r="D75" i="6" s="1"/>
  <c r="H75" i="6" s="1"/>
  <c r="AK74" i="2"/>
  <c r="D76" i="6" s="1"/>
  <c r="AK75" i="2"/>
  <c r="D77" i="6" s="1"/>
  <c r="AK76" i="2"/>
  <c r="D78" i="6" s="1"/>
  <c r="AK77" i="2"/>
  <c r="D79" i="6" s="1"/>
  <c r="H79" i="6" s="1"/>
  <c r="AK78" i="2"/>
  <c r="D80" i="6" s="1"/>
  <c r="H80" i="6" s="1"/>
  <c r="AK79" i="2"/>
  <c r="D81" i="6" s="1"/>
  <c r="H81" i="6" s="1"/>
  <c r="AK80" i="2"/>
  <c r="D82" i="6" s="1"/>
  <c r="AK81" i="2"/>
  <c r="D83" i="6" s="1"/>
  <c r="AK82" i="2"/>
  <c r="D84" i="6" s="1"/>
  <c r="AK83" i="2"/>
  <c r="D85" i="6" s="1"/>
  <c r="AK84" i="2"/>
  <c r="D86" i="6" s="1"/>
  <c r="AK85" i="2"/>
  <c r="D87" i="6" s="1"/>
  <c r="H87" i="6" s="1"/>
  <c r="AK86" i="2"/>
  <c r="D88" i="6" s="1"/>
  <c r="AK87" i="2"/>
  <c r="D89" i="6" s="1"/>
  <c r="AK88" i="2"/>
  <c r="D90" i="6" s="1"/>
  <c r="AK89" i="2"/>
  <c r="D91" i="6" s="1"/>
  <c r="H91" i="6" s="1"/>
  <c r="AK90" i="2"/>
  <c r="D92" i="6" s="1"/>
  <c r="H92" i="6" s="1"/>
  <c r="AK91" i="2"/>
  <c r="D93" i="6" s="1"/>
  <c r="H93" i="6" s="1"/>
  <c r="AK92" i="2"/>
  <c r="D94" i="6" s="1"/>
  <c r="AK93" i="2"/>
  <c r="D95" i="6" s="1"/>
  <c r="AK94" i="2"/>
  <c r="D96" i="6" s="1"/>
  <c r="AK95" i="2"/>
  <c r="D97" i="6" s="1"/>
  <c r="AK96" i="2"/>
  <c r="D98" i="6" s="1"/>
  <c r="AK97" i="2"/>
  <c r="D99" i="6" s="1"/>
  <c r="H99" i="6" s="1"/>
  <c r="AK98" i="2"/>
  <c r="D100" i="6" s="1"/>
  <c r="AK99" i="2"/>
  <c r="D101" i="6" s="1"/>
  <c r="AK100" i="2"/>
  <c r="D102" i="6" s="1"/>
  <c r="AK101" i="2"/>
  <c r="D103" i="6" s="1"/>
  <c r="H103" i="6" s="1"/>
  <c r="AK102" i="2"/>
  <c r="D104" i="6" s="1"/>
  <c r="H104" i="6" s="1"/>
  <c r="AK103" i="2"/>
  <c r="D105" i="6" s="1"/>
  <c r="H105" i="6" s="1"/>
  <c r="AK104" i="2"/>
  <c r="D106" i="6" s="1"/>
  <c r="AK105" i="2"/>
  <c r="D107" i="6" s="1"/>
  <c r="AK106" i="2"/>
  <c r="D108" i="6" s="1"/>
  <c r="AK107" i="2"/>
  <c r="D109" i="6" s="1"/>
  <c r="AK108" i="2"/>
  <c r="D110" i="6" s="1"/>
  <c r="AK109" i="2"/>
  <c r="D111" i="6" s="1"/>
  <c r="H111" i="6" s="1"/>
  <c r="AK110" i="2"/>
  <c r="D112" i="6" s="1"/>
  <c r="AK111" i="2"/>
  <c r="D113" i="6" s="1"/>
  <c r="AK112" i="2"/>
  <c r="D114" i="6" s="1"/>
  <c r="AK113" i="2"/>
  <c r="D115" i="6" s="1"/>
  <c r="H115" i="6" s="1"/>
  <c r="AK114" i="2"/>
  <c r="D116" i="6" s="1"/>
  <c r="H116" i="6" s="1"/>
  <c r="AK115" i="2"/>
  <c r="D117" i="6" s="1"/>
  <c r="H117" i="6" s="1"/>
  <c r="AK116" i="2"/>
  <c r="D118" i="6" s="1"/>
  <c r="AK117" i="2"/>
  <c r="D119" i="6" s="1"/>
  <c r="AK118" i="2"/>
  <c r="D120" i="6" s="1"/>
  <c r="AW8" i="2"/>
  <c r="AU8" i="2"/>
  <c r="AS8" i="2"/>
  <c r="AR9" i="2"/>
  <c r="AL8" i="2"/>
  <c r="H29" i="13"/>
  <c r="AP8" i="2"/>
  <c r="AN8" i="2"/>
  <c r="AP7" i="2"/>
  <c r="AN7" i="2"/>
  <c r="AL7" i="2"/>
  <c r="E32" i="13"/>
  <c r="G32" i="13"/>
  <c r="F32" i="13"/>
  <c r="H30" i="13"/>
  <c r="H31" i="13"/>
  <c r="D8" i="2"/>
  <c r="AD109" i="2"/>
  <c r="AD110" i="2"/>
  <c r="AD111" i="2"/>
  <c r="AD112" i="2"/>
  <c r="AD113" i="2"/>
  <c r="AD114" i="2"/>
  <c r="AD115" i="2"/>
  <c r="AD116" i="2"/>
  <c r="AD117" i="2"/>
  <c r="AD118" i="2"/>
  <c r="U109" i="2"/>
  <c r="U110" i="2"/>
  <c r="U111" i="2"/>
  <c r="U112" i="2"/>
  <c r="U113" i="2"/>
  <c r="U114" i="2"/>
  <c r="U115" i="2"/>
  <c r="U116" i="2"/>
  <c r="U117" i="2"/>
  <c r="U118" i="2"/>
  <c r="L109" i="2"/>
  <c r="L110" i="2"/>
  <c r="L111" i="2"/>
  <c r="L112" i="2"/>
  <c r="L113" i="2"/>
  <c r="L114" i="2"/>
  <c r="L115" i="2"/>
  <c r="L116" i="2"/>
  <c r="L117" i="2"/>
  <c r="L118" i="2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11" i="6"/>
  <c r="H114" i="6" l="1"/>
  <c r="H102" i="6"/>
  <c r="H90" i="6"/>
  <c r="H78" i="6"/>
  <c r="H66" i="6"/>
  <c r="H54" i="6"/>
  <c r="H42" i="6"/>
  <c r="H109" i="6"/>
  <c r="H97" i="6"/>
  <c r="H85" i="6"/>
  <c r="H73" i="6"/>
  <c r="H61" i="6"/>
  <c r="H49" i="6"/>
  <c r="H120" i="6"/>
  <c r="H108" i="6"/>
  <c r="H96" i="6"/>
  <c r="H84" i="6"/>
  <c r="H72" i="6"/>
  <c r="H60" i="6"/>
  <c r="H48" i="6"/>
  <c r="AO10" i="2"/>
  <c r="H101" i="6"/>
  <c r="H77" i="6"/>
  <c r="H112" i="6"/>
  <c r="H100" i="6"/>
  <c r="H88" i="6"/>
  <c r="H76" i="6"/>
  <c r="H64" i="6"/>
  <c r="H52" i="6"/>
  <c r="H110" i="6"/>
  <c r="H98" i="6"/>
  <c r="H86" i="6"/>
  <c r="H74" i="6"/>
  <c r="H62" i="6"/>
  <c r="H50" i="6"/>
  <c r="H119" i="6"/>
  <c r="H107" i="6"/>
  <c r="H95" i="6"/>
  <c r="H83" i="6"/>
  <c r="H71" i="6"/>
  <c r="H59" i="6"/>
  <c r="H47" i="6"/>
  <c r="H118" i="6"/>
  <c r="H106" i="6"/>
  <c r="H94" i="6"/>
  <c r="H82" i="6"/>
  <c r="H70" i="6"/>
  <c r="H58" i="6"/>
  <c r="H46" i="6"/>
  <c r="H113" i="6"/>
  <c r="H89" i="6"/>
  <c r="H65" i="6"/>
  <c r="H53" i="6"/>
  <c r="H41" i="6"/>
  <c r="A12" i="2"/>
  <c r="AZ118" i="2"/>
  <c r="AZ114" i="2"/>
  <c r="AZ110" i="2"/>
  <c r="AZ106" i="2"/>
  <c r="AZ102" i="2"/>
  <c r="AZ98" i="2"/>
  <c r="AZ94" i="2"/>
  <c r="AZ90" i="2"/>
  <c r="AZ86" i="2"/>
  <c r="AZ82" i="2"/>
  <c r="AZ78" i="2"/>
  <c r="AZ74" i="2"/>
  <c r="AZ70" i="2"/>
  <c r="AZ66" i="2"/>
  <c r="AZ62" i="2"/>
  <c r="AZ58" i="2"/>
  <c r="AZ54" i="2"/>
  <c r="AZ50" i="2"/>
  <c r="AZ46" i="2"/>
  <c r="AZ42" i="2"/>
  <c r="AZ38" i="2"/>
  <c r="F40" i="6" s="1"/>
  <c r="AZ34" i="2"/>
  <c r="F36" i="6" s="1"/>
  <c r="AZ30" i="2"/>
  <c r="F32" i="6" s="1"/>
  <c r="AZ26" i="2"/>
  <c r="F28" i="6" s="1"/>
  <c r="AZ22" i="2"/>
  <c r="F24" i="6" s="1"/>
  <c r="AZ18" i="2"/>
  <c r="F20" i="6" s="1"/>
  <c r="AZ14" i="2"/>
  <c r="F16" i="6" s="1"/>
  <c r="AZ11" i="2"/>
  <c r="F13" i="6" s="1"/>
  <c r="AZ115" i="2"/>
  <c r="AZ111" i="2"/>
  <c r="AZ107" i="2"/>
  <c r="AZ103" i="2"/>
  <c r="AZ116" i="2"/>
  <c r="AZ112" i="2"/>
  <c r="AZ108" i="2"/>
  <c r="AZ104" i="2"/>
  <c r="AZ100" i="2"/>
  <c r="AZ96" i="2"/>
  <c r="AZ92" i="2"/>
  <c r="AZ88" i="2"/>
  <c r="AZ84" i="2"/>
  <c r="AZ80" i="2"/>
  <c r="AZ76" i="2"/>
  <c r="AZ72" i="2"/>
  <c r="AZ68" i="2"/>
  <c r="AZ64" i="2"/>
  <c r="AZ60" i="2"/>
  <c r="AZ56" i="2"/>
  <c r="AZ52" i="2"/>
  <c r="AZ48" i="2"/>
  <c r="AZ44" i="2"/>
  <c r="AZ40" i="2"/>
  <c r="AZ36" i="2"/>
  <c r="F38" i="6" s="1"/>
  <c r="AZ32" i="2"/>
  <c r="F34" i="6" s="1"/>
  <c r="AZ28" i="2"/>
  <c r="F30" i="6" s="1"/>
  <c r="AZ24" i="2"/>
  <c r="F26" i="6" s="1"/>
  <c r="AZ20" i="2"/>
  <c r="F22" i="6" s="1"/>
  <c r="AZ16" i="2"/>
  <c r="F18" i="6" s="1"/>
  <c r="AZ117" i="2"/>
  <c r="AZ113" i="2"/>
  <c r="AZ109" i="2"/>
  <c r="AZ105" i="2"/>
  <c r="AZ101" i="2"/>
  <c r="AZ93" i="2"/>
  <c r="AZ65" i="2"/>
  <c r="AZ99" i="2"/>
  <c r="AZ97" i="2"/>
  <c r="AZ95" i="2"/>
  <c r="AZ91" i="2"/>
  <c r="AZ89" i="2"/>
  <c r="AZ87" i="2"/>
  <c r="AZ85" i="2"/>
  <c r="AZ83" i="2"/>
  <c r="AZ81" i="2"/>
  <c r="AZ79" i="2"/>
  <c r="AZ77" i="2"/>
  <c r="AZ75" i="2"/>
  <c r="AZ73" i="2"/>
  <c r="AZ71" i="2"/>
  <c r="AZ69" i="2"/>
  <c r="AZ67" i="2"/>
  <c r="AZ63" i="2"/>
  <c r="AZ61" i="2"/>
  <c r="AZ59" i="2"/>
  <c r="AZ57" i="2"/>
  <c r="AZ55" i="2"/>
  <c r="AZ53" i="2"/>
  <c r="AZ51" i="2"/>
  <c r="AZ49" i="2"/>
  <c r="AZ47" i="2"/>
  <c r="AZ45" i="2"/>
  <c r="AZ43" i="2"/>
  <c r="AZ41" i="2"/>
  <c r="AZ39" i="2"/>
  <c r="AZ37" i="2"/>
  <c r="F39" i="6" s="1"/>
  <c r="AZ35" i="2"/>
  <c r="F37" i="6" s="1"/>
  <c r="AZ33" i="2"/>
  <c r="F35" i="6" s="1"/>
  <c r="AZ31" i="2"/>
  <c r="F33" i="6" s="1"/>
  <c r="AZ29" i="2"/>
  <c r="F31" i="6" s="1"/>
  <c r="AZ27" i="2"/>
  <c r="F29" i="6" s="1"/>
  <c r="AZ25" i="2"/>
  <c r="F27" i="6" s="1"/>
  <c r="AZ23" i="2"/>
  <c r="F25" i="6" s="1"/>
  <c r="AZ21" i="2"/>
  <c r="F23" i="6" s="1"/>
  <c r="AZ19" i="2"/>
  <c r="F21" i="6" s="1"/>
  <c r="AZ17" i="2"/>
  <c r="F19" i="6" s="1"/>
  <c r="AZ15" i="2"/>
  <c r="F17" i="6" s="1"/>
  <c r="AZ13" i="2"/>
  <c r="F15" i="6" s="1"/>
  <c r="BA118" i="2"/>
  <c r="BA116" i="2"/>
  <c r="BA114" i="2"/>
  <c r="BA112" i="2"/>
  <c r="BA110" i="2"/>
  <c r="BA117" i="2"/>
  <c r="BA115" i="2"/>
  <c r="BA113" i="2"/>
  <c r="BA111" i="2"/>
  <c r="BA109" i="2"/>
  <c r="AO112" i="2"/>
  <c r="AO116" i="2"/>
  <c r="AO118" i="2"/>
  <c r="AO114" i="2"/>
  <c r="AO110" i="2"/>
  <c r="AO106" i="2"/>
  <c r="AO102" i="2"/>
  <c r="AO98" i="2"/>
  <c r="AO94" i="2"/>
  <c r="AO90" i="2"/>
  <c r="AO86" i="2"/>
  <c r="AO82" i="2"/>
  <c r="AO78" i="2"/>
  <c r="AO74" i="2"/>
  <c r="AO70" i="2"/>
  <c r="AO62" i="2"/>
  <c r="AO54" i="2"/>
  <c r="AO46" i="2"/>
  <c r="AO38" i="2"/>
  <c r="AO30" i="2"/>
  <c r="AO22" i="2"/>
  <c r="AO14" i="2"/>
  <c r="AO108" i="2"/>
  <c r="AO104" i="2"/>
  <c r="AO100" i="2"/>
  <c r="AO96" i="2"/>
  <c r="AO92" i="2"/>
  <c r="AO88" i="2"/>
  <c r="AO84" i="2"/>
  <c r="AO80" i="2"/>
  <c r="AO76" i="2"/>
  <c r="AO72" i="2"/>
  <c r="AO66" i="2"/>
  <c r="AO58" i="2"/>
  <c r="AO50" i="2"/>
  <c r="AO42" i="2"/>
  <c r="AO34" i="2"/>
  <c r="AO26" i="2"/>
  <c r="AO18" i="2"/>
  <c r="AQ11" i="2"/>
  <c r="AQ13" i="2"/>
  <c r="AQ15" i="2"/>
  <c r="AQ17" i="2"/>
  <c r="AQ19" i="2"/>
  <c r="AQ21" i="2"/>
  <c r="AQ23" i="2"/>
  <c r="AQ25" i="2"/>
  <c r="AQ27" i="2"/>
  <c r="AQ29" i="2"/>
  <c r="AQ31" i="2"/>
  <c r="AQ33" i="2"/>
  <c r="AQ35" i="2"/>
  <c r="AQ37" i="2"/>
  <c r="AQ39" i="2"/>
  <c r="AQ41" i="2"/>
  <c r="AQ43" i="2"/>
  <c r="AQ45" i="2"/>
  <c r="AQ47" i="2"/>
  <c r="AQ49" i="2"/>
  <c r="AQ51" i="2"/>
  <c r="AQ53" i="2"/>
  <c r="AQ55" i="2"/>
  <c r="AQ57" i="2"/>
  <c r="AQ59" i="2"/>
  <c r="AQ61" i="2"/>
  <c r="AQ63" i="2"/>
  <c r="AQ65" i="2"/>
  <c r="AQ67" i="2"/>
  <c r="AQ69" i="2"/>
  <c r="AQ71" i="2"/>
  <c r="AQ73" i="2"/>
  <c r="AQ75" i="2"/>
  <c r="AQ77" i="2"/>
  <c r="AQ79" i="2"/>
  <c r="AQ81" i="2"/>
  <c r="AQ83" i="2"/>
  <c r="AQ85" i="2"/>
  <c r="AQ87" i="2"/>
  <c r="AQ89" i="2"/>
  <c r="AQ91" i="2"/>
  <c r="AQ93" i="2"/>
  <c r="AQ95" i="2"/>
  <c r="AQ97" i="2"/>
  <c r="AQ99" i="2"/>
  <c r="AQ101" i="2"/>
  <c r="AQ103" i="2"/>
  <c r="AQ105" i="2"/>
  <c r="AQ107" i="2"/>
  <c r="AQ109" i="2"/>
  <c r="AQ111" i="2"/>
  <c r="AQ113" i="2"/>
  <c r="AQ115" i="2"/>
  <c r="AQ117" i="2"/>
  <c r="AQ9" i="2"/>
  <c r="AQ10" i="2"/>
  <c r="AQ14" i="2"/>
  <c r="AQ18" i="2"/>
  <c r="AQ22" i="2"/>
  <c r="AQ26" i="2"/>
  <c r="AQ30" i="2"/>
  <c r="AQ34" i="2"/>
  <c r="AQ38" i="2"/>
  <c r="AQ42" i="2"/>
  <c r="AQ46" i="2"/>
  <c r="AQ50" i="2"/>
  <c r="AQ54" i="2"/>
  <c r="AQ58" i="2"/>
  <c r="AQ62" i="2"/>
  <c r="AQ66" i="2"/>
  <c r="AQ70" i="2"/>
  <c r="AQ74" i="2"/>
  <c r="AQ78" i="2"/>
  <c r="AQ82" i="2"/>
  <c r="AQ86" i="2"/>
  <c r="AQ90" i="2"/>
  <c r="AQ94" i="2"/>
  <c r="AQ98" i="2"/>
  <c r="AQ102" i="2"/>
  <c r="AQ106" i="2"/>
  <c r="AQ110" i="2"/>
  <c r="AQ114" i="2"/>
  <c r="AQ118" i="2"/>
  <c r="AQ12" i="2"/>
  <c r="AQ16" i="2"/>
  <c r="AQ20" i="2"/>
  <c r="AQ24" i="2"/>
  <c r="AQ28" i="2"/>
  <c r="AQ32" i="2"/>
  <c r="AQ36" i="2"/>
  <c r="AQ40" i="2"/>
  <c r="AQ44" i="2"/>
  <c r="AQ48" i="2"/>
  <c r="AQ52" i="2"/>
  <c r="AQ56" i="2"/>
  <c r="AQ60" i="2"/>
  <c r="AQ64" i="2"/>
  <c r="AQ68" i="2"/>
  <c r="AQ72" i="2"/>
  <c r="AQ76" i="2"/>
  <c r="AQ112" i="2"/>
  <c r="AQ104" i="2"/>
  <c r="AQ96" i="2"/>
  <c r="AQ88" i="2"/>
  <c r="AQ80" i="2"/>
  <c r="AQ116" i="2"/>
  <c r="AQ108" i="2"/>
  <c r="AQ100" i="2"/>
  <c r="AQ92" i="2"/>
  <c r="AQ84" i="2"/>
  <c r="AO11" i="2"/>
  <c r="AO13" i="2"/>
  <c r="AO15" i="2"/>
  <c r="AO17" i="2"/>
  <c r="AO19" i="2"/>
  <c r="AO21" i="2"/>
  <c r="AO23" i="2"/>
  <c r="AO25" i="2"/>
  <c r="AO27" i="2"/>
  <c r="AO29" i="2"/>
  <c r="AO31" i="2"/>
  <c r="AO33" i="2"/>
  <c r="AO35" i="2"/>
  <c r="AO37" i="2"/>
  <c r="AO39" i="2"/>
  <c r="AO41" i="2"/>
  <c r="AO43" i="2"/>
  <c r="AO45" i="2"/>
  <c r="AO47" i="2"/>
  <c r="AO49" i="2"/>
  <c r="AO51" i="2"/>
  <c r="AO53" i="2"/>
  <c r="AO55" i="2"/>
  <c r="AO57" i="2"/>
  <c r="AO59" i="2"/>
  <c r="AO61" i="2"/>
  <c r="AO63" i="2"/>
  <c r="AO65" i="2"/>
  <c r="AO67" i="2"/>
  <c r="AO69" i="2"/>
  <c r="AO9" i="2"/>
  <c r="AO117" i="2"/>
  <c r="AO115" i="2"/>
  <c r="AO113" i="2"/>
  <c r="AO111" i="2"/>
  <c r="AO109" i="2"/>
  <c r="AO107" i="2"/>
  <c r="AO105" i="2"/>
  <c r="AO103" i="2"/>
  <c r="AO101" i="2"/>
  <c r="AO99" i="2"/>
  <c r="AO97" i="2"/>
  <c r="AO95" i="2"/>
  <c r="AO93" i="2"/>
  <c r="AO91" i="2"/>
  <c r="AO89" i="2"/>
  <c r="AO87" i="2"/>
  <c r="AO85" i="2"/>
  <c r="AO83" i="2"/>
  <c r="AO81" i="2"/>
  <c r="AO79" i="2"/>
  <c r="AO77" i="2"/>
  <c r="AO75" i="2"/>
  <c r="AO73" i="2"/>
  <c r="AO71" i="2"/>
  <c r="AO68" i="2"/>
  <c r="AO64" i="2"/>
  <c r="AO60" i="2"/>
  <c r="AO56" i="2"/>
  <c r="AO52" i="2"/>
  <c r="AO48" i="2"/>
  <c r="AO44" i="2"/>
  <c r="AO40" i="2"/>
  <c r="AO36" i="2"/>
  <c r="AO32" i="2"/>
  <c r="AO28" i="2"/>
  <c r="AO24" i="2"/>
  <c r="AO20" i="2"/>
  <c r="AO16" i="2"/>
  <c r="AO12" i="2"/>
  <c r="AY8" i="2"/>
  <c r="AM116" i="2"/>
  <c r="AM112" i="2"/>
  <c r="AM108" i="2"/>
  <c r="AM104" i="2"/>
  <c r="AM100" i="2"/>
  <c r="AM96" i="2"/>
  <c r="AM92" i="2"/>
  <c r="AM88" i="2"/>
  <c r="AM84" i="2"/>
  <c r="AM80" i="2"/>
  <c r="AM76" i="2"/>
  <c r="AM72" i="2"/>
  <c r="AM65" i="2"/>
  <c r="AM57" i="2"/>
  <c r="AM49" i="2"/>
  <c r="AM41" i="2"/>
  <c r="AM33" i="2"/>
  <c r="AM25" i="2"/>
  <c r="AM17" i="2"/>
  <c r="AM118" i="2"/>
  <c r="AM114" i="2"/>
  <c r="AM110" i="2"/>
  <c r="AM106" i="2"/>
  <c r="AM102" i="2"/>
  <c r="AM98" i="2"/>
  <c r="AM94" i="2"/>
  <c r="AM90" i="2"/>
  <c r="AM86" i="2"/>
  <c r="AM82" i="2"/>
  <c r="AM78" i="2"/>
  <c r="AM74" i="2"/>
  <c r="AM69" i="2"/>
  <c r="AM61" i="2"/>
  <c r="AM53" i="2"/>
  <c r="AM45" i="2"/>
  <c r="AM37" i="2"/>
  <c r="AM29" i="2"/>
  <c r="AM21" i="2"/>
  <c r="AM13" i="2"/>
  <c r="AZ12" i="2"/>
  <c r="F14" i="6" s="1"/>
  <c r="AZ10" i="2"/>
  <c r="F12" i="6" s="1"/>
  <c r="AM10" i="2"/>
  <c r="AM12" i="2"/>
  <c r="AM14" i="2"/>
  <c r="AM16" i="2"/>
  <c r="AM18" i="2"/>
  <c r="AM20" i="2"/>
  <c r="AM22" i="2"/>
  <c r="AM24" i="2"/>
  <c r="AM26" i="2"/>
  <c r="AM28" i="2"/>
  <c r="AM30" i="2"/>
  <c r="AM32" i="2"/>
  <c r="AM34" i="2"/>
  <c r="AM36" i="2"/>
  <c r="AM38" i="2"/>
  <c r="AM40" i="2"/>
  <c r="AM42" i="2"/>
  <c r="AM44" i="2"/>
  <c r="AM46" i="2"/>
  <c r="AM48" i="2"/>
  <c r="AM50" i="2"/>
  <c r="AM52" i="2"/>
  <c r="AM54" i="2"/>
  <c r="AM56" i="2"/>
  <c r="AM58" i="2"/>
  <c r="AM60" i="2"/>
  <c r="AM62" i="2"/>
  <c r="AM64" i="2"/>
  <c r="AM66" i="2"/>
  <c r="AM68" i="2"/>
  <c r="AM70" i="2"/>
  <c r="AM117" i="2"/>
  <c r="AM115" i="2"/>
  <c r="AM113" i="2"/>
  <c r="AM111" i="2"/>
  <c r="AM109" i="2"/>
  <c r="AM107" i="2"/>
  <c r="AM105" i="2"/>
  <c r="AM103" i="2"/>
  <c r="AM101" i="2"/>
  <c r="AM99" i="2"/>
  <c r="AM97" i="2"/>
  <c r="AM95" i="2"/>
  <c r="AM93" i="2"/>
  <c r="AM91" i="2"/>
  <c r="AM89" i="2"/>
  <c r="AM87" i="2"/>
  <c r="AM85" i="2"/>
  <c r="AM83" i="2"/>
  <c r="AM81" i="2"/>
  <c r="AM79" i="2"/>
  <c r="AM77" i="2"/>
  <c r="AM75" i="2"/>
  <c r="AM73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R8" i="2"/>
  <c r="AM9" i="2"/>
  <c r="F33" i="13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B14" i="6" l="1"/>
  <c r="F10" i="6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AW7" i="2"/>
  <c r="AU7" i="2"/>
  <c r="AS7" i="2"/>
  <c r="AI7" i="2"/>
  <c r="AG7" i="2"/>
  <c r="AE7" i="2"/>
  <c r="AB7" i="2"/>
  <c r="Z7" i="2"/>
  <c r="X7" i="2"/>
  <c r="V7" i="2"/>
  <c r="S7" i="2"/>
  <c r="Q7" i="2"/>
  <c r="O7" i="2"/>
  <c r="M7" i="2"/>
  <c r="J7" i="2"/>
  <c r="H7" i="2"/>
  <c r="F7" i="2"/>
  <c r="D7" i="2"/>
  <c r="F6" i="6"/>
  <c r="F5" i="6"/>
  <c r="B7" i="6"/>
  <c r="B6" i="6"/>
  <c r="B5" i="6"/>
  <c r="D4" i="6"/>
  <c r="A3" i="6"/>
  <c r="AF2" i="2"/>
  <c r="Z2" i="2"/>
  <c r="S2" i="2"/>
  <c r="E2" i="2"/>
  <c r="D12" i="6"/>
  <c r="AD11" i="2"/>
  <c r="D13" i="6" s="1"/>
  <c r="AD12" i="2"/>
  <c r="D14" i="6" s="1"/>
  <c r="AD13" i="2"/>
  <c r="D15" i="6" s="1"/>
  <c r="AD14" i="2"/>
  <c r="D16" i="6" s="1"/>
  <c r="AD15" i="2"/>
  <c r="D17" i="6" s="1"/>
  <c r="AD16" i="2"/>
  <c r="D18" i="6" s="1"/>
  <c r="AD17" i="2"/>
  <c r="D19" i="6" s="1"/>
  <c r="AD18" i="2"/>
  <c r="D20" i="6" s="1"/>
  <c r="AD19" i="2"/>
  <c r="D21" i="6" s="1"/>
  <c r="AD20" i="2"/>
  <c r="D22" i="6" s="1"/>
  <c r="AD21" i="2"/>
  <c r="D23" i="6" s="1"/>
  <c r="AD22" i="2"/>
  <c r="D24" i="6" s="1"/>
  <c r="AD23" i="2"/>
  <c r="D25" i="6" s="1"/>
  <c r="AD24" i="2"/>
  <c r="D26" i="6" s="1"/>
  <c r="AD25" i="2"/>
  <c r="D27" i="6" s="1"/>
  <c r="AD26" i="2"/>
  <c r="D28" i="6" s="1"/>
  <c r="AD27" i="2"/>
  <c r="D29" i="6" s="1"/>
  <c r="AD28" i="2"/>
  <c r="D30" i="6" s="1"/>
  <c r="AD29" i="2"/>
  <c r="D31" i="6" s="1"/>
  <c r="AD30" i="2"/>
  <c r="D32" i="6" s="1"/>
  <c r="AD31" i="2"/>
  <c r="D33" i="6" s="1"/>
  <c r="AD32" i="2"/>
  <c r="D34" i="6" s="1"/>
  <c r="AD33" i="2"/>
  <c r="D35" i="6" s="1"/>
  <c r="AD34" i="2"/>
  <c r="D36" i="6" s="1"/>
  <c r="AD35" i="2"/>
  <c r="D37" i="6" s="1"/>
  <c r="AD36" i="2"/>
  <c r="D38" i="6" s="1"/>
  <c r="AD37" i="2"/>
  <c r="D39" i="6" s="1"/>
  <c r="AD38" i="2"/>
  <c r="D40" i="6" s="1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9" i="2"/>
  <c r="S8" i="2"/>
  <c r="B15" i="6" l="1"/>
  <c r="D11" i="6"/>
  <c r="BA107" i="2"/>
  <c r="BA105" i="2"/>
  <c r="BA103" i="2"/>
  <c r="BA101" i="2"/>
  <c r="BA99" i="2"/>
  <c r="BA97" i="2"/>
  <c r="BA95" i="2"/>
  <c r="BA93" i="2"/>
  <c r="BA91" i="2"/>
  <c r="BA89" i="2"/>
  <c r="BA87" i="2"/>
  <c r="BA85" i="2"/>
  <c r="BA83" i="2"/>
  <c r="BA81" i="2"/>
  <c r="BA79" i="2"/>
  <c r="BA77" i="2"/>
  <c r="BA75" i="2"/>
  <c r="BA73" i="2"/>
  <c r="BA71" i="2"/>
  <c r="BA69" i="2"/>
  <c r="BA67" i="2"/>
  <c r="BA65" i="2"/>
  <c r="BA63" i="2"/>
  <c r="BA61" i="2"/>
  <c r="BA59" i="2"/>
  <c r="BA108" i="2"/>
  <c r="BA106" i="2"/>
  <c r="BA104" i="2"/>
  <c r="BA102" i="2"/>
  <c r="BA100" i="2"/>
  <c r="BA98" i="2"/>
  <c r="BA96" i="2"/>
  <c r="BA94" i="2"/>
  <c r="BA92" i="2"/>
  <c r="BA90" i="2"/>
  <c r="BA88" i="2"/>
  <c r="BA86" i="2"/>
  <c r="BA84" i="2"/>
  <c r="BA82" i="2"/>
  <c r="BA80" i="2"/>
  <c r="BA78" i="2"/>
  <c r="BA76" i="2"/>
  <c r="BA74" i="2"/>
  <c r="BA72" i="2"/>
  <c r="BA70" i="2"/>
  <c r="BA68" i="2"/>
  <c r="BA66" i="2"/>
  <c r="BA64" i="2"/>
  <c r="BA62" i="2"/>
  <c r="BA60" i="2"/>
  <c r="T10" i="2"/>
  <c r="T12" i="2"/>
  <c r="T14" i="2"/>
  <c r="T16" i="2"/>
  <c r="T18" i="2"/>
  <c r="T20" i="2"/>
  <c r="T22" i="2"/>
  <c r="T24" i="2"/>
  <c r="T26" i="2"/>
  <c r="T28" i="2"/>
  <c r="T30" i="2"/>
  <c r="T32" i="2"/>
  <c r="T34" i="2"/>
  <c r="T36" i="2"/>
  <c r="T38" i="2"/>
  <c r="T40" i="2"/>
  <c r="T42" i="2"/>
  <c r="T44" i="2"/>
  <c r="T46" i="2"/>
  <c r="T48" i="2"/>
  <c r="T50" i="2"/>
  <c r="T52" i="2"/>
  <c r="T54" i="2"/>
  <c r="T56" i="2"/>
  <c r="T58" i="2"/>
  <c r="T60" i="2"/>
  <c r="T62" i="2"/>
  <c r="T64" i="2"/>
  <c r="T66" i="2"/>
  <c r="T68" i="2"/>
  <c r="T70" i="2"/>
  <c r="T72" i="2"/>
  <c r="T74" i="2"/>
  <c r="T76" i="2"/>
  <c r="T78" i="2"/>
  <c r="T80" i="2"/>
  <c r="T82" i="2"/>
  <c r="T84" i="2"/>
  <c r="T86" i="2"/>
  <c r="T88" i="2"/>
  <c r="T90" i="2"/>
  <c r="T92" i="2"/>
  <c r="T94" i="2"/>
  <c r="T96" i="2"/>
  <c r="T98" i="2"/>
  <c r="T100" i="2"/>
  <c r="T102" i="2"/>
  <c r="T104" i="2"/>
  <c r="T106" i="2"/>
  <c r="T108" i="2"/>
  <c r="T110" i="2"/>
  <c r="T112" i="2"/>
  <c r="T114" i="2"/>
  <c r="T116" i="2"/>
  <c r="T118" i="2"/>
  <c r="T11" i="2"/>
  <c r="T13" i="2"/>
  <c r="T15" i="2"/>
  <c r="T17" i="2"/>
  <c r="T19" i="2"/>
  <c r="T21" i="2"/>
  <c r="T23" i="2"/>
  <c r="T25" i="2"/>
  <c r="T27" i="2"/>
  <c r="T29" i="2"/>
  <c r="T31" i="2"/>
  <c r="T33" i="2"/>
  <c r="T35" i="2"/>
  <c r="T37" i="2"/>
  <c r="T39" i="2"/>
  <c r="T41" i="2"/>
  <c r="T43" i="2"/>
  <c r="T45" i="2"/>
  <c r="T47" i="2"/>
  <c r="T49" i="2"/>
  <c r="T51" i="2"/>
  <c r="T53" i="2"/>
  <c r="T55" i="2"/>
  <c r="T57" i="2"/>
  <c r="T59" i="2"/>
  <c r="T61" i="2"/>
  <c r="T63" i="2"/>
  <c r="T65" i="2"/>
  <c r="T67" i="2"/>
  <c r="T69" i="2"/>
  <c r="T71" i="2"/>
  <c r="T75" i="2"/>
  <c r="T79" i="2"/>
  <c r="T83" i="2"/>
  <c r="T87" i="2"/>
  <c r="T91" i="2"/>
  <c r="T95" i="2"/>
  <c r="T99" i="2"/>
  <c r="T103" i="2"/>
  <c r="T107" i="2"/>
  <c r="T111" i="2"/>
  <c r="T115" i="2"/>
  <c r="T73" i="2"/>
  <c r="T77" i="2"/>
  <c r="T81" i="2"/>
  <c r="T85" i="2"/>
  <c r="T89" i="2"/>
  <c r="T93" i="2"/>
  <c r="T97" i="2"/>
  <c r="T101" i="2"/>
  <c r="T105" i="2"/>
  <c r="T109" i="2"/>
  <c r="T113" i="2"/>
  <c r="T117" i="2"/>
  <c r="AZ9" i="2"/>
  <c r="F11" i="6" s="1"/>
  <c r="T9" i="2"/>
  <c r="H21" i="13"/>
  <c r="H22" i="13"/>
  <c r="H20" i="13"/>
  <c r="U9" i="2"/>
  <c r="G11" i="6" s="1"/>
  <c r="U10" i="2"/>
  <c r="G12" i="6" s="1"/>
  <c r="U11" i="2"/>
  <c r="G13" i="6" s="1"/>
  <c r="U12" i="2"/>
  <c r="G14" i="6" s="1"/>
  <c r="U13" i="2"/>
  <c r="G15" i="6" s="1"/>
  <c r="U14" i="2"/>
  <c r="G16" i="6" s="1"/>
  <c r="U15" i="2"/>
  <c r="G17" i="6" s="1"/>
  <c r="U16" i="2"/>
  <c r="G18" i="6" s="1"/>
  <c r="U17" i="2"/>
  <c r="G19" i="6" s="1"/>
  <c r="U18" i="2"/>
  <c r="G20" i="6" s="1"/>
  <c r="U19" i="2"/>
  <c r="G21" i="6" s="1"/>
  <c r="U20" i="2"/>
  <c r="G22" i="6" s="1"/>
  <c r="U21" i="2"/>
  <c r="G23" i="6" s="1"/>
  <c r="U22" i="2"/>
  <c r="G24" i="6" s="1"/>
  <c r="U23" i="2"/>
  <c r="G25" i="6" s="1"/>
  <c r="U24" i="2"/>
  <c r="G26" i="6" s="1"/>
  <c r="U25" i="2"/>
  <c r="G27" i="6" s="1"/>
  <c r="U26" i="2"/>
  <c r="G28" i="6" s="1"/>
  <c r="U27" i="2"/>
  <c r="G29" i="6" s="1"/>
  <c r="U28" i="2"/>
  <c r="G30" i="6" s="1"/>
  <c r="U29" i="2"/>
  <c r="G31" i="6" s="1"/>
  <c r="U30" i="2"/>
  <c r="G32" i="6" s="1"/>
  <c r="U31" i="2"/>
  <c r="G33" i="6" s="1"/>
  <c r="U32" i="2"/>
  <c r="G34" i="6" s="1"/>
  <c r="U33" i="2"/>
  <c r="G35" i="6" s="1"/>
  <c r="U34" i="2"/>
  <c r="G36" i="6" s="1"/>
  <c r="U35" i="2"/>
  <c r="G37" i="6" s="1"/>
  <c r="U36" i="2"/>
  <c r="G38" i="6" s="1"/>
  <c r="U37" i="2"/>
  <c r="G39" i="6" s="1"/>
  <c r="U38" i="2"/>
  <c r="G40" i="6" s="1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AI8" i="2"/>
  <c r="AG8" i="2"/>
  <c r="AE8" i="2"/>
  <c r="AB8" i="2"/>
  <c r="Q8" i="2"/>
  <c r="O8" i="2"/>
  <c r="M8" i="2"/>
  <c r="J8" i="2"/>
  <c r="H8" i="2"/>
  <c r="F8" i="2"/>
  <c r="F24" i="13"/>
  <c r="G24" i="13"/>
  <c r="E24" i="13"/>
  <c r="C16" i="13"/>
  <c r="B16" i="6" l="1"/>
  <c r="G10" i="6"/>
  <c r="E10" i="6"/>
  <c r="D10" i="6"/>
  <c r="K11" i="2"/>
  <c r="K13" i="2"/>
  <c r="K15" i="2"/>
  <c r="K17" i="2"/>
  <c r="K19" i="2"/>
  <c r="K21" i="2"/>
  <c r="K23" i="2"/>
  <c r="K25" i="2"/>
  <c r="K27" i="2"/>
  <c r="K29" i="2"/>
  <c r="K31" i="2"/>
  <c r="K33" i="2"/>
  <c r="K35" i="2"/>
  <c r="K37" i="2"/>
  <c r="K39" i="2"/>
  <c r="K41" i="2"/>
  <c r="K43" i="2"/>
  <c r="K45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95" i="2"/>
  <c r="K97" i="2"/>
  <c r="K99" i="2"/>
  <c r="K101" i="2"/>
  <c r="K103" i="2"/>
  <c r="K105" i="2"/>
  <c r="K107" i="2"/>
  <c r="K109" i="2"/>
  <c r="K111" i="2"/>
  <c r="K113" i="2"/>
  <c r="K115" i="2"/>
  <c r="K117" i="2"/>
  <c r="K10" i="2"/>
  <c r="K12" i="2"/>
  <c r="K14" i="2"/>
  <c r="K16" i="2"/>
  <c r="K18" i="2"/>
  <c r="K20" i="2"/>
  <c r="K22" i="2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4" i="2"/>
  <c r="K78" i="2"/>
  <c r="K82" i="2"/>
  <c r="K86" i="2"/>
  <c r="K90" i="2"/>
  <c r="K94" i="2"/>
  <c r="K98" i="2"/>
  <c r="K102" i="2"/>
  <c r="K106" i="2"/>
  <c r="K110" i="2"/>
  <c r="K114" i="2"/>
  <c r="K118" i="2"/>
  <c r="K72" i="2"/>
  <c r="K76" i="2"/>
  <c r="K80" i="2"/>
  <c r="K84" i="2"/>
  <c r="K88" i="2"/>
  <c r="K92" i="2"/>
  <c r="K96" i="2"/>
  <c r="K100" i="2"/>
  <c r="K104" i="2"/>
  <c r="K108" i="2"/>
  <c r="K112" i="2"/>
  <c r="K116" i="2"/>
  <c r="AC10" i="2"/>
  <c r="AC12" i="2"/>
  <c r="AC14" i="2"/>
  <c r="AC16" i="2"/>
  <c r="AC18" i="2"/>
  <c r="AC20" i="2"/>
  <c r="AC22" i="2"/>
  <c r="AC24" i="2"/>
  <c r="AC26" i="2"/>
  <c r="AC28" i="2"/>
  <c r="AC30" i="2"/>
  <c r="AC32" i="2"/>
  <c r="AC34" i="2"/>
  <c r="AC36" i="2"/>
  <c r="AC38" i="2"/>
  <c r="AC40" i="2"/>
  <c r="AC42" i="2"/>
  <c r="AC44" i="2"/>
  <c r="AC46" i="2"/>
  <c r="AC48" i="2"/>
  <c r="AC50" i="2"/>
  <c r="AC52" i="2"/>
  <c r="AC54" i="2"/>
  <c r="AC56" i="2"/>
  <c r="AC58" i="2"/>
  <c r="AC60" i="2"/>
  <c r="AC62" i="2"/>
  <c r="AC64" i="2"/>
  <c r="AC66" i="2"/>
  <c r="AC68" i="2"/>
  <c r="AC70" i="2"/>
  <c r="AC72" i="2"/>
  <c r="AC74" i="2"/>
  <c r="AC76" i="2"/>
  <c r="AC78" i="2"/>
  <c r="AC80" i="2"/>
  <c r="AC82" i="2"/>
  <c r="AC84" i="2"/>
  <c r="AC86" i="2"/>
  <c r="AC88" i="2"/>
  <c r="AC90" i="2"/>
  <c r="AC92" i="2"/>
  <c r="AC94" i="2"/>
  <c r="AC96" i="2"/>
  <c r="AC98" i="2"/>
  <c r="AC100" i="2"/>
  <c r="AC102" i="2"/>
  <c r="AC104" i="2"/>
  <c r="AC106" i="2"/>
  <c r="AC108" i="2"/>
  <c r="AC110" i="2"/>
  <c r="AC112" i="2"/>
  <c r="AC114" i="2"/>
  <c r="AC116" i="2"/>
  <c r="AC118" i="2"/>
  <c r="AC11" i="2"/>
  <c r="AC13" i="2"/>
  <c r="AC15" i="2"/>
  <c r="AC17" i="2"/>
  <c r="AC19" i="2"/>
  <c r="AC21" i="2"/>
  <c r="AC23" i="2"/>
  <c r="AC25" i="2"/>
  <c r="AC27" i="2"/>
  <c r="AC29" i="2"/>
  <c r="AC31" i="2"/>
  <c r="AC33" i="2"/>
  <c r="AC35" i="2"/>
  <c r="AC37" i="2"/>
  <c r="AC39" i="2"/>
  <c r="AC41" i="2"/>
  <c r="AC43" i="2"/>
  <c r="AC45" i="2"/>
  <c r="AC47" i="2"/>
  <c r="AC49" i="2"/>
  <c r="AC51" i="2"/>
  <c r="AC53" i="2"/>
  <c r="AC55" i="2"/>
  <c r="AC57" i="2"/>
  <c r="AC59" i="2"/>
  <c r="AC61" i="2"/>
  <c r="AC63" i="2"/>
  <c r="AC65" i="2"/>
  <c r="AC67" i="2"/>
  <c r="AC69" i="2"/>
  <c r="AC73" i="2"/>
  <c r="AC77" i="2"/>
  <c r="AC81" i="2"/>
  <c r="AC85" i="2"/>
  <c r="AC89" i="2"/>
  <c r="AC93" i="2"/>
  <c r="AC97" i="2"/>
  <c r="AC101" i="2"/>
  <c r="AC105" i="2"/>
  <c r="AC109" i="2"/>
  <c r="AC113" i="2"/>
  <c r="AC117" i="2"/>
  <c r="AC71" i="2"/>
  <c r="AC75" i="2"/>
  <c r="AC79" i="2"/>
  <c r="AC83" i="2"/>
  <c r="AC87" i="2"/>
  <c r="AC91" i="2"/>
  <c r="AC95" i="2"/>
  <c r="AC99" i="2"/>
  <c r="AC103" i="2"/>
  <c r="AC107" i="2"/>
  <c r="AC111" i="2"/>
  <c r="AC115" i="2"/>
  <c r="AF11" i="2"/>
  <c r="AF13" i="2"/>
  <c r="AF15" i="2"/>
  <c r="AF17" i="2"/>
  <c r="AF19" i="2"/>
  <c r="AF21" i="2"/>
  <c r="AF23" i="2"/>
  <c r="AF25" i="2"/>
  <c r="AF27" i="2"/>
  <c r="AF29" i="2"/>
  <c r="AF10" i="2"/>
  <c r="AF14" i="2"/>
  <c r="AF18" i="2"/>
  <c r="AF22" i="2"/>
  <c r="AF26" i="2"/>
  <c r="AF30" i="2"/>
  <c r="AF32" i="2"/>
  <c r="AF34" i="2"/>
  <c r="AF36" i="2"/>
  <c r="AF38" i="2"/>
  <c r="AF40" i="2"/>
  <c r="AF42" i="2"/>
  <c r="AF44" i="2"/>
  <c r="AF46" i="2"/>
  <c r="AF48" i="2"/>
  <c r="AF50" i="2"/>
  <c r="AF52" i="2"/>
  <c r="AF54" i="2"/>
  <c r="AF56" i="2"/>
  <c r="AF58" i="2"/>
  <c r="AF60" i="2"/>
  <c r="AF62" i="2"/>
  <c r="AF64" i="2"/>
  <c r="AF66" i="2"/>
  <c r="AF68" i="2"/>
  <c r="AF70" i="2"/>
  <c r="AF72" i="2"/>
  <c r="AF74" i="2"/>
  <c r="AF76" i="2"/>
  <c r="AF78" i="2"/>
  <c r="AF80" i="2"/>
  <c r="AF82" i="2"/>
  <c r="AF84" i="2"/>
  <c r="AF86" i="2"/>
  <c r="AF88" i="2"/>
  <c r="AF90" i="2"/>
  <c r="AF92" i="2"/>
  <c r="AF94" i="2"/>
  <c r="AF96" i="2"/>
  <c r="AF98" i="2"/>
  <c r="AF100" i="2"/>
  <c r="AF102" i="2"/>
  <c r="AF104" i="2"/>
  <c r="AF106" i="2"/>
  <c r="AF108" i="2"/>
  <c r="AF110" i="2"/>
  <c r="AF112" i="2"/>
  <c r="AF114" i="2"/>
  <c r="AF116" i="2"/>
  <c r="AF118" i="2"/>
  <c r="AF12" i="2"/>
  <c r="AF16" i="2"/>
  <c r="AF20" i="2"/>
  <c r="AF24" i="2"/>
  <c r="AF28" i="2"/>
  <c r="AF31" i="2"/>
  <c r="AF33" i="2"/>
  <c r="AF35" i="2"/>
  <c r="AF37" i="2"/>
  <c r="AF39" i="2"/>
  <c r="AF41" i="2"/>
  <c r="AF43" i="2"/>
  <c r="AF45" i="2"/>
  <c r="AF47" i="2"/>
  <c r="AF49" i="2"/>
  <c r="AF51" i="2"/>
  <c r="AF53" i="2"/>
  <c r="AF55" i="2"/>
  <c r="AF57" i="2"/>
  <c r="AF59" i="2"/>
  <c r="AF61" i="2"/>
  <c r="AF63" i="2"/>
  <c r="AF65" i="2"/>
  <c r="AF67" i="2"/>
  <c r="AF69" i="2"/>
  <c r="AF71" i="2"/>
  <c r="AF73" i="2"/>
  <c r="AF75" i="2"/>
  <c r="AF77" i="2"/>
  <c r="AF79" i="2"/>
  <c r="AF81" i="2"/>
  <c r="AF83" i="2"/>
  <c r="AF85" i="2"/>
  <c r="AF87" i="2"/>
  <c r="AF89" i="2"/>
  <c r="AF91" i="2"/>
  <c r="AF93" i="2"/>
  <c r="AF95" i="2"/>
  <c r="AF97" i="2"/>
  <c r="AF99" i="2"/>
  <c r="AF101" i="2"/>
  <c r="AF103" i="2"/>
  <c r="AF105" i="2"/>
  <c r="AF107" i="2"/>
  <c r="AF109" i="2"/>
  <c r="AF111" i="2"/>
  <c r="AF113" i="2"/>
  <c r="AF117" i="2"/>
  <c r="AF115" i="2"/>
  <c r="AH10" i="2"/>
  <c r="AH12" i="2"/>
  <c r="AH14" i="2"/>
  <c r="AH16" i="2"/>
  <c r="AH18" i="2"/>
  <c r="AH20" i="2"/>
  <c r="AH22" i="2"/>
  <c r="AH24" i="2"/>
  <c r="AH26" i="2"/>
  <c r="AH28" i="2"/>
  <c r="AH30" i="2"/>
  <c r="AH32" i="2"/>
  <c r="AH34" i="2"/>
  <c r="AH36" i="2"/>
  <c r="AH38" i="2"/>
  <c r="AH40" i="2"/>
  <c r="AH42" i="2"/>
  <c r="AH44" i="2"/>
  <c r="AH46" i="2"/>
  <c r="AH48" i="2"/>
  <c r="AH50" i="2"/>
  <c r="AH52" i="2"/>
  <c r="AH54" i="2"/>
  <c r="AH56" i="2"/>
  <c r="AH58" i="2"/>
  <c r="AH60" i="2"/>
  <c r="AH62" i="2"/>
  <c r="AH64" i="2"/>
  <c r="AH66" i="2"/>
  <c r="AH68" i="2"/>
  <c r="AH70" i="2"/>
  <c r="AH72" i="2"/>
  <c r="AH74" i="2"/>
  <c r="AH76" i="2"/>
  <c r="AH78" i="2"/>
  <c r="AH80" i="2"/>
  <c r="AH82" i="2"/>
  <c r="AH84" i="2"/>
  <c r="AH86" i="2"/>
  <c r="AH88" i="2"/>
  <c r="AH90" i="2"/>
  <c r="AH92" i="2"/>
  <c r="AH94" i="2"/>
  <c r="AH96" i="2"/>
  <c r="AH98" i="2"/>
  <c r="AH100" i="2"/>
  <c r="AH102" i="2"/>
  <c r="AH104" i="2"/>
  <c r="AH106" i="2"/>
  <c r="AH108" i="2"/>
  <c r="AH110" i="2"/>
  <c r="AH112" i="2"/>
  <c r="AH114" i="2"/>
  <c r="AH116" i="2"/>
  <c r="AH118" i="2"/>
  <c r="AH11" i="2"/>
  <c r="AH15" i="2"/>
  <c r="AH19" i="2"/>
  <c r="AH23" i="2"/>
  <c r="AH27" i="2"/>
  <c r="AH31" i="2"/>
  <c r="AH35" i="2"/>
  <c r="AH39" i="2"/>
  <c r="AH43" i="2"/>
  <c r="AH47" i="2"/>
  <c r="AH51" i="2"/>
  <c r="AH55" i="2"/>
  <c r="AH59" i="2"/>
  <c r="AH63" i="2"/>
  <c r="AH67" i="2"/>
  <c r="AH71" i="2"/>
  <c r="AH75" i="2"/>
  <c r="AH79" i="2"/>
  <c r="AH83" i="2"/>
  <c r="AH87" i="2"/>
  <c r="AH91" i="2"/>
  <c r="AH95" i="2"/>
  <c r="AH99" i="2"/>
  <c r="AH103" i="2"/>
  <c r="AH107" i="2"/>
  <c r="AH111" i="2"/>
  <c r="AH115" i="2"/>
  <c r="AH13" i="2"/>
  <c r="AH17" i="2"/>
  <c r="AH21" i="2"/>
  <c r="AH25" i="2"/>
  <c r="AH29" i="2"/>
  <c r="AH33" i="2"/>
  <c r="AH37" i="2"/>
  <c r="AH41" i="2"/>
  <c r="AH45" i="2"/>
  <c r="AH49" i="2"/>
  <c r="AH53" i="2"/>
  <c r="AH57" i="2"/>
  <c r="AH61" i="2"/>
  <c r="AH65" i="2"/>
  <c r="AH69" i="2"/>
  <c r="AH73" i="2"/>
  <c r="AH77" i="2"/>
  <c r="AH81" i="2"/>
  <c r="AH85" i="2"/>
  <c r="AH89" i="2"/>
  <c r="AH93" i="2"/>
  <c r="AH97" i="2"/>
  <c r="AH101" i="2"/>
  <c r="AH105" i="2"/>
  <c r="AH109" i="2"/>
  <c r="AH113" i="2"/>
  <c r="AH117" i="2"/>
  <c r="AJ11" i="2"/>
  <c r="AJ13" i="2"/>
  <c r="AJ15" i="2"/>
  <c r="AJ17" i="2"/>
  <c r="AJ19" i="2"/>
  <c r="AJ21" i="2"/>
  <c r="AJ23" i="2"/>
  <c r="AJ25" i="2"/>
  <c r="AJ27" i="2"/>
  <c r="AJ29" i="2"/>
  <c r="AJ31" i="2"/>
  <c r="AJ33" i="2"/>
  <c r="AJ35" i="2"/>
  <c r="AJ37" i="2"/>
  <c r="AJ39" i="2"/>
  <c r="AJ41" i="2"/>
  <c r="AJ43" i="2"/>
  <c r="AJ45" i="2"/>
  <c r="AJ47" i="2"/>
  <c r="AJ49" i="2"/>
  <c r="AJ51" i="2"/>
  <c r="AJ53" i="2"/>
  <c r="AJ55" i="2"/>
  <c r="AJ57" i="2"/>
  <c r="AJ59" i="2"/>
  <c r="AJ61" i="2"/>
  <c r="AJ63" i="2"/>
  <c r="AJ65" i="2"/>
  <c r="AJ67" i="2"/>
  <c r="AJ69" i="2"/>
  <c r="AJ71" i="2"/>
  <c r="AJ73" i="2"/>
  <c r="AJ75" i="2"/>
  <c r="AJ77" i="2"/>
  <c r="AJ79" i="2"/>
  <c r="AJ81" i="2"/>
  <c r="AJ83" i="2"/>
  <c r="AJ85" i="2"/>
  <c r="AJ87" i="2"/>
  <c r="AJ89" i="2"/>
  <c r="AJ91" i="2"/>
  <c r="AJ93" i="2"/>
  <c r="AJ95" i="2"/>
  <c r="AJ97" i="2"/>
  <c r="AJ99" i="2"/>
  <c r="AJ101" i="2"/>
  <c r="AJ103" i="2"/>
  <c r="AJ105" i="2"/>
  <c r="AJ107" i="2"/>
  <c r="AJ109" i="2"/>
  <c r="AJ111" i="2"/>
  <c r="AJ113" i="2"/>
  <c r="AJ115" i="2"/>
  <c r="AJ117" i="2"/>
  <c r="AJ10" i="2"/>
  <c r="AJ12" i="2"/>
  <c r="AJ14" i="2"/>
  <c r="AJ16" i="2"/>
  <c r="AJ18" i="2"/>
  <c r="AJ20" i="2"/>
  <c r="AJ22" i="2"/>
  <c r="AJ24" i="2"/>
  <c r="AJ26" i="2"/>
  <c r="AJ28" i="2"/>
  <c r="AJ30" i="2"/>
  <c r="AJ32" i="2"/>
  <c r="AJ34" i="2"/>
  <c r="AJ36" i="2"/>
  <c r="AJ38" i="2"/>
  <c r="AJ40" i="2"/>
  <c r="AJ42" i="2"/>
  <c r="AJ44" i="2"/>
  <c r="AJ46" i="2"/>
  <c r="AJ48" i="2"/>
  <c r="AJ50" i="2"/>
  <c r="AJ52" i="2"/>
  <c r="AJ54" i="2"/>
  <c r="AJ56" i="2"/>
  <c r="AJ58" i="2"/>
  <c r="AJ60" i="2"/>
  <c r="AJ62" i="2"/>
  <c r="AJ64" i="2"/>
  <c r="AJ66" i="2"/>
  <c r="AJ68" i="2"/>
  <c r="AJ70" i="2"/>
  <c r="AJ74" i="2"/>
  <c r="AJ78" i="2"/>
  <c r="AJ82" i="2"/>
  <c r="AJ86" i="2"/>
  <c r="AJ90" i="2"/>
  <c r="AJ94" i="2"/>
  <c r="AJ98" i="2"/>
  <c r="AJ102" i="2"/>
  <c r="AJ106" i="2"/>
  <c r="AJ110" i="2"/>
  <c r="AJ114" i="2"/>
  <c r="AJ118" i="2"/>
  <c r="AJ72" i="2"/>
  <c r="AJ76" i="2"/>
  <c r="AJ80" i="2"/>
  <c r="AJ84" i="2"/>
  <c r="AJ88" i="2"/>
  <c r="AJ92" i="2"/>
  <c r="AJ96" i="2"/>
  <c r="AJ100" i="2"/>
  <c r="AJ104" i="2"/>
  <c r="AJ108" i="2"/>
  <c r="AJ112" i="2"/>
  <c r="AJ116" i="2"/>
  <c r="AC9" i="2"/>
  <c r="R118" i="2"/>
  <c r="R110" i="2"/>
  <c r="R112" i="2"/>
  <c r="R114" i="2"/>
  <c r="R116" i="2"/>
  <c r="R109" i="2"/>
  <c r="R111" i="2"/>
  <c r="R113" i="2"/>
  <c r="R115" i="2"/>
  <c r="R117" i="2"/>
  <c r="G110" i="2"/>
  <c r="G112" i="2"/>
  <c r="G114" i="2"/>
  <c r="G116" i="2"/>
  <c r="G118" i="2"/>
  <c r="G109" i="2"/>
  <c r="G111" i="2"/>
  <c r="G113" i="2"/>
  <c r="G115" i="2"/>
  <c r="G117" i="2"/>
  <c r="I110" i="2"/>
  <c r="I112" i="2"/>
  <c r="I114" i="2"/>
  <c r="I116" i="2"/>
  <c r="I118" i="2"/>
  <c r="I109" i="2"/>
  <c r="I111" i="2"/>
  <c r="I113" i="2"/>
  <c r="I115" i="2"/>
  <c r="I117" i="2"/>
  <c r="AA109" i="2"/>
  <c r="AA111" i="2"/>
  <c r="AA113" i="2"/>
  <c r="AA115" i="2"/>
  <c r="AA117" i="2"/>
  <c r="AA110" i="2"/>
  <c r="AA112" i="2"/>
  <c r="AA114" i="2"/>
  <c r="AA116" i="2"/>
  <c r="AA118" i="2"/>
  <c r="AX109" i="2"/>
  <c r="AX111" i="2"/>
  <c r="AX113" i="2"/>
  <c r="AX115" i="2"/>
  <c r="AX117" i="2"/>
  <c r="AX110" i="2"/>
  <c r="AX112" i="2"/>
  <c r="AX114" i="2"/>
  <c r="AX116" i="2"/>
  <c r="AX118" i="2"/>
  <c r="AV109" i="2"/>
  <c r="AV111" i="2"/>
  <c r="AV113" i="2"/>
  <c r="AV115" i="2"/>
  <c r="AV117" i="2"/>
  <c r="AV110" i="2"/>
  <c r="AV112" i="2"/>
  <c r="AV114" i="2"/>
  <c r="AV116" i="2"/>
  <c r="AV118" i="2"/>
  <c r="AT110" i="2"/>
  <c r="AT112" i="2"/>
  <c r="AT114" i="2"/>
  <c r="AT116" i="2"/>
  <c r="AT118" i="2"/>
  <c r="AT109" i="2"/>
  <c r="AT111" i="2"/>
  <c r="AT113" i="2"/>
  <c r="AT115" i="2"/>
  <c r="AT117" i="2"/>
  <c r="P110" i="2"/>
  <c r="P112" i="2"/>
  <c r="P114" i="2"/>
  <c r="P116" i="2"/>
  <c r="P118" i="2"/>
  <c r="P109" i="2"/>
  <c r="P111" i="2"/>
  <c r="P113" i="2"/>
  <c r="P115" i="2"/>
  <c r="P117" i="2"/>
  <c r="N110" i="2"/>
  <c r="N112" i="2"/>
  <c r="N114" i="2"/>
  <c r="N116" i="2"/>
  <c r="N118" i="2"/>
  <c r="N109" i="2"/>
  <c r="N111" i="2"/>
  <c r="N113" i="2"/>
  <c r="N115" i="2"/>
  <c r="N117" i="2"/>
  <c r="E111" i="2"/>
  <c r="E110" i="2"/>
  <c r="E112" i="2"/>
  <c r="E114" i="2"/>
  <c r="E116" i="2"/>
  <c r="E118" i="2"/>
  <c r="E109" i="2"/>
  <c r="E113" i="2"/>
  <c r="E115" i="2"/>
  <c r="E117" i="2"/>
  <c r="Y109" i="2"/>
  <c r="Y111" i="2"/>
  <c r="Y113" i="2"/>
  <c r="Y115" i="2"/>
  <c r="Y117" i="2"/>
  <c r="Y110" i="2"/>
  <c r="Y112" i="2"/>
  <c r="Y114" i="2"/>
  <c r="Y116" i="2"/>
  <c r="Y118" i="2"/>
  <c r="W112" i="2"/>
  <c r="W118" i="2"/>
  <c r="W109" i="2"/>
  <c r="W111" i="2"/>
  <c r="W113" i="2"/>
  <c r="W115" i="2"/>
  <c r="W117" i="2"/>
  <c r="W110" i="2"/>
  <c r="W114" i="2"/>
  <c r="W116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G48" i="2"/>
  <c r="G50" i="2"/>
  <c r="G52" i="2"/>
  <c r="G54" i="2"/>
  <c r="G56" i="2"/>
  <c r="G58" i="2"/>
  <c r="G60" i="2"/>
  <c r="G62" i="2"/>
  <c r="G64" i="2"/>
  <c r="G66" i="2"/>
  <c r="G68" i="2"/>
  <c r="G70" i="2"/>
  <c r="G72" i="2"/>
  <c r="G74" i="2"/>
  <c r="G76" i="2"/>
  <c r="G78" i="2"/>
  <c r="G80" i="2"/>
  <c r="G82" i="2"/>
  <c r="G84" i="2"/>
  <c r="G86" i="2"/>
  <c r="G88" i="2"/>
  <c r="G90" i="2"/>
  <c r="G92" i="2"/>
  <c r="G94" i="2"/>
  <c r="G96" i="2"/>
  <c r="G98" i="2"/>
  <c r="G100" i="2"/>
  <c r="G102" i="2"/>
  <c r="G104" i="2"/>
  <c r="G106" i="2"/>
  <c r="G108" i="2"/>
  <c r="G13" i="2"/>
  <c r="G17" i="2"/>
  <c r="G21" i="2"/>
  <c r="G25" i="2"/>
  <c r="G29" i="2"/>
  <c r="G33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5" i="2"/>
  <c r="G23" i="2"/>
  <c r="G31" i="2"/>
  <c r="G39" i="2"/>
  <c r="G47" i="2"/>
  <c r="G55" i="2"/>
  <c r="G63" i="2"/>
  <c r="G71" i="2"/>
  <c r="G79" i="2"/>
  <c r="G87" i="2"/>
  <c r="G95" i="2"/>
  <c r="G103" i="2"/>
  <c r="G11" i="2"/>
  <c r="G27" i="2"/>
  <c r="G35" i="2"/>
  <c r="G51" i="2"/>
  <c r="G59" i="2"/>
  <c r="G75" i="2"/>
  <c r="G83" i="2"/>
  <c r="G99" i="2"/>
  <c r="G19" i="2"/>
  <c r="G43" i="2"/>
  <c r="G67" i="2"/>
  <c r="G91" i="2"/>
  <c r="G107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P38" i="2"/>
  <c r="P40" i="2"/>
  <c r="P42" i="2"/>
  <c r="P44" i="2"/>
  <c r="P46" i="2"/>
  <c r="P48" i="2"/>
  <c r="P50" i="2"/>
  <c r="P52" i="2"/>
  <c r="P54" i="2"/>
  <c r="P56" i="2"/>
  <c r="P58" i="2"/>
  <c r="P60" i="2"/>
  <c r="P62" i="2"/>
  <c r="P64" i="2"/>
  <c r="P66" i="2"/>
  <c r="P68" i="2"/>
  <c r="P70" i="2"/>
  <c r="P72" i="2"/>
  <c r="P74" i="2"/>
  <c r="P76" i="2"/>
  <c r="P78" i="2"/>
  <c r="P80" i="2"/>
  <c r="P82" i="2"/>
  <c r="P84" i="2"/>
  <c r="P86" i="2"/>
  <c r="P88" i="2"/>
  <c r="P90" i="2"/>
  <c r="P92" i="2"/>
  <c r="P94" i="2"/>
  <c r="P96" i="2"/>
  <c r="P98" i="2"/>
  <c r="P100" i="2"/>
  <c r="P102" i="2"/>
  <c r="P104" i="2"/>
  <c r="P106" i="2"/>
  <c r="P108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105" i="2"/>
  <c r="P11" i="2"/>
  <c r="P19" i="2"/>
  <c r="P27" i="2"/>
  <c r="P35" i="2"/>
  <c r="P43" i="2"/>
  <c r="P51" i="2"/>
  <c r="P59" i="2"/>
  <c r="P67" i="2"/>
  <c r="P75" i="2"/>
  <c r="P83" i="2"/>
  <c r="P91" i="2"/>
  <c r="P99" i="2"/>
  <c r="P107" i="2"/>
  <c r="P15" i="2"/>
  <c r="P23" i="2"/>
  <c r="P31" i="2"/>
  <c r="P39" i="2"/>
  <c r="P47" i="2"/>
  <c r="P55" i="2"/>
  <c r="P71" i="2"/>
  <c r="P79" i="2"/>
  <c r="P87" i="2"/>
  <c r="P95" i="2"/>
  <c r="P103" i="2"/>
  <c r="P63" i="2"/>
  <c r="W11" i="2"/>
  <c r="W13" i="2"/>
  <c r="W15" i="2"/>
  <c r="W17" i="2"/>
  <c r="W19" i="2"/>
  <c r="W21" i="2"/>
  <c r="W23" i="2"/>
  <c r="W25" i="2"/>
  <c r="W27" i="2"/>
  <c r="W29" i="2"/>
  <c r="W31" i="2"/>
  <c r="W33" i="2"/>
  <c r="W35" i="2"/>
  <c r="W37" i="2"/>
  <c r="W39" i="2"/>
  <c r="W41" i="2"/>
  <c r="W43" i="2"/>
  <c r="W45" i="2"/>
  <c r="W47" i="2"/>
  <c r="W49" i="2"/>
  <c r="W51" i="2"/>
  <c r="W53" i="2"/>
  <c r="W55" i="2"/>
  <c r="W57" i="2"/>
  <c r="W59" i="2"/>
  <c r="W61" i="2"/>
  <c r="W63" i="2"/>
  <c r="W65" i="2"/>
  <c r="W67" i="2"/>
  <c r="W69" i="2"/>
  <c r="W71" i="2"/>
  <c r="W73" i="2"/>
  <c r="W75" i="2"/>
  <c r="W77" i="2"/>
  <c r="W79" i="2"/>
  <c r="W81" i="2"/>
  <c r="W83" i="2"/>
  <c r="W85" i="2"/>
  <c r="W87" i="2"/>
  <c r="W89" i="2"/>
  <c r="W91" i="2"/>
  <c r="W93" i="2"/>
  <c r="W95" i="2"/>
  <c r="W97" i="2"/>
  <c r="W99" i="2"/>
  <c r="W101" i="2"/>
  <c r="W103" i="2"/>
  <c r="W105" i="2"/>
  <c r="W107" i="2"/>
  <c r="W10" i="2"/>
  <c r="W12" i="2"/>
  <c r="W14" i="2"/>
  <c r="W16" i="2"/>
  <c r="W18" i="2"/>
  <c r="W20" i="2"/>
  <c r="W22" i="2"/>
  <c r="W24" i="2"/>
  <c r="W26" i="2"/>
  <c r="W28" i="2"/>
  <c r="W30" i="2"/>
  <c r="W32" i="2"/>
  <c r="W34" i="2"/>
  <c r="W36" i="2"/>
  <c r="W38" i="2"/>
  <c r="W40" i="2"/>
  <c r="W42" i="2"/>
  <c r="W44" i="2"/>
  <c r="W46" i="2"/>
  <c r="W48" i="2"/>
  <c r="W50" i="2"/>
  <c r="W52" i="2"/>
  <c r="W54" i="2"/>
  <c r="W56" i="2"/>
  <c r="W58" i="2"/>
  <c r="W60" i="2"/>
  <c r="W62" i="2"/>
  <c r="W64" i="2"/>
  <c r="W66" i="2"/>
  <c r="W68" i="2"/>
  <c r="W70" i="2"/>
  <c r="W72" i="2"/>
  <c r="W74" i="2"/>
  <c r="W76" i="2"/>
  <c r="W78" i="2"/>
  <c r="W80" i="2"/>
  <c r="W82" i="2"/>
  <c r="W84" i="2"/>
  <c r="W86" i="2"/>
  <c r="W88" i="2"/>
  <c r="W90" i="2"/>
  <c r="W92" i="2"/>
  <c r="W94" i="2"/>
  <c r="W96" i="2"/>
  <c r="W98" i="2"/>
  <c r="W100" i="2"/>
  <c r="W102" i="2"/>
  <c r="W104" i="2"/>
  <c r="W106" i="2"/>
  <c r="W108" i="2"/>
  <c r="AA10" i="2"/>
  <c r="AA12" i="2"/>
  <c r="AA14" i="2"/>
  <c r="AA16" i="2"/>
  <c r="AA18" i="2"/>
  <c r="AA20" i="2"/>
  <c r="AA22" i="2"/>
  <c r="AA24" i="2"/>
  <c r="AA26" i="2"/>
  <c r="AA28" i="2"/>
  <c r="AA30" i="2"/>
  <c r="AA32" i="2"/>
  <c r="AA34" i="2"/>
  <c r="AA36" i="2"/>
  <c r="AA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11" i="2"/>
  <c r="AA13" i="2"/>
  <c r="AA15" i="2"/>
  <c r="AA17" i="2"/>
  <c r="AA19" i="2"/>
  <c r="AA21" i="2"/>
  <c r="AA23" i="2"/>
  <c r="AA25" i="2"/>
  <c r="AA27" i="2"/>
  <c r="AA29" i="2"/>
  <c r="AA31" i="2"/>
  <c r="AA33" i="2"/>
  <c r="AA35" i="2"/>
  <c r="AA37" i="2"/>
  <c r="AA39" i="2"/>
  <c r="AA41" i="2"/>
  <c r="AA43" i="2"/>
  <c r="AA45" i="2"/>
  <c r="AA47" i="2"/>
  <c r="AA49" i="2"/>
  <c r="AA51" i="2"/>
  <c r="AA53" i="2"/>
  <c r="AA55" i="2"/>
  <c r="AA57" i="2"/>
  <c r="AA59" i="2"/>
  <c r="AA61" i="2"/>
  <c r="AA63" i="2"/>
  <c r="AA65" i="2"/>
  <c r="AA67" i="2"/>
  <c r="AA69" i="2"/>
  <c r="AA71" i="2"/>
  <c r="AA73" i="2"/>
  <c r="AA75" i="2"/>
  <c r="AA77" i="2"/>
  <c r="AA79" i="2"/>
  <c r="AA81" i="2"/>
  <c r="AA83" i="2"/>
  <c r="AA85" i="2"/>
  <c r="AA87" i="2"/>
  <c r="AA89" i="2"/>
  <c r="AA91" i="2"/>
  <c r="AA93" i="2"/>
  <c r="AA95" i="2"/>
  <c r="AA97" i="2"/>
  <c r="AA99" i="2"/>
  <c r="AA101" i="2"/>
  <c r="AA103" i="2"/>
  <c r="AA98" i="2"/>
  <c r="AA102" i="2"/>
  <c r="AA105" i="2"/>
  <c r="AA107" i="2"/>
  <c r="AA100" i="2"/>
  <c r="AA104" i="2"/>
  <c r="AA106" i="2"/>
  <c r="AA108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E49" i="2"/>
  <c r="E51" i="2"/>
  <c r="E53" i="2"/>
  <c r="E55" i="2"/>
  <c r="E57" i="2"/>
  <c r="E59" i="2"/>
  <c r="E61" i="2"/>
  <c r="E63" i="2"/>
  <c r="E65" i="2"/>
  <c r="E67" i="2"/>
  <c r="E69" i="2"/>
  <c r="E71" i="2"/>
  <c r="E73" i="2"/>
  <c r="E75" i="2"/>
  <c r="E77" i="2"/>
  <c r="E79" i="2"/>
  <c r="E81" i="2"/>
  <c r="E83" i="2"/>
  <c r="E85" i="2"/>
  <c r="E87" i="2"/>
  <c r="E89" i="2"/>
  <c r="E91" i="2"/>
  <c r="E93" i="2"/>
  <c r="E95" i="2"/>
  <c r="E97" i="2"/>
  <c r="E99" i="2"/>
  <c r="E101" i="2"/>
  <c r="E103" i="2"/>
  <c r="E105" i="2"/>
  <c r="E107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2" i="2"/>
  <c r="E20" i="2"/>
  <c r="E28" i="2"/>
  <c r="E36" i="2"/>
  <c r="E44" i="2"/>
  <c r="E52" i="2"/>
  <c r="E60" i="2"/>
  <c r="E68" i="2"/>
  <c r="E76" i="2"/>
  <c r="E84" i="2"/>
  <c r="E92" i="2"/>
  <c r="E100" i="2"/>
  <c r="E108" i="2"/>
  <c r="E16" i="2"/>
  <c r="E32" i="2"/>
  <c r="E40" i="2"/>
  <c r="E56" i="2"/>
  <c r="E72" i="2"/>
  <c r="E80" i="2"/>
  <c r="E96" i="2"/>
  <c r="E24" i="2"/>
  <c r="E48" i="2"/>
  <c r="E64" i="2"/>
  <c r="E88" i="2"/>
  <c r="E104" i="2"/>
  <c r="I11" i="2"/>
  <c r="I13" i="2"/>
  <c r="I15" i="2"/>
  <c r="I17" i="2"/>
  <c r="I19" i="2"/>
  <c r="I21" i="2"/>
  <c r="I23" i="2"/>
  <c r="I25" i="2"/>
  <c r="I27" i="2"/>
  <c r="I29" i="2"/>
  <c r="I31" i="2"/>
  <c r="I33" i="2"/>
  <c r="I35" i="2"/>
  <c r="I37" i="2"/>
  <c r="I39" i="2"/>
  <c r="I41" i="2"/>
  <c r="I43" i="2"/>
  <c r="I45" i="2"/>
  <c r="I47" i="2"/>
  <c r="I49" i="2"/>
  <c r="I51" i="2"/>
  <c r="I53" i="2"/>
  <c r="I55" i="2"/>
  <c r="I57" i="2"/>
  <c r="I59" i="2"/>
  <c r="I61" i="2"/>
  <c r="I63" i="2"/>
  <c r="I65" i="2"/>
  <c r="I67" i="2"/>
  <c r="I69" i="2"/>
  <c r="I71" i="2"/>
  <c r="I73" i="2"/>
  <c r="I75" i="2"/>
  <c r="I77" i="2"/>
  <c r="I79" i="2"/>
  <c r="I81" i="2"/>
  <c r="I83" i="2"/>
  <c r="I85" i="2"/>
  <c r="I87" i="2"/>
  <c r="I89" i="2"/>
  <c r="I91" i="2"/>
  <c r="I93" i="2"/>
  <c r="I95" i="2"/>
  <c r="I97" i="2"/>
  <c r="I99" i="2"/>
  <c r="I101" i="2"/>
  <c r="I103" i="2"/>
  <c r="I105" i="2"/>
  <c r="I107" i="2"/>
  <c r="I12" i="2"/>
  <c r="I16" i="2"/>
  <c r="I20" i="2"/>
  <c r="I24" i="2"/>
  <c r="I28" i="2"/>
  <c r="I32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8" i="2"/>
  <c r="I26" i="2"/>
  <c r="I34" i="2"/>
  <c r="I42" i="2"/>
  <c r="I50" i="2"/>
  <c r="I58" i="2"/>
  <c r="I66" i="2"/>
  <c r="I74" i="2"/>
  <c r="I82" i="2"/>
  <c r="I90" i="2"/>
  <c r="I98" i="2"/>
  <c r="I106" i="2"/>
  <c r="I14" i="2"/>
  <c r="I30" i="2"/>
  <c r="I38" i="2"/>
  <c r="I54" i="2"/>
  <c r="I70" i="2"/>
  <c r="I78" i="2"/>
  <c r="I94" i="2"/>
  <c r="I22" i="2"/>
  <c r="I46" i="2"/>
  <c r="I62" i="2"/>
  <c r="I86" i="2"/>
  <c r="I102" i="2"/>
  <c r="N11" i="2"/>
  <c r="N13" i="2"/>
  <c r="N15" i="2"/>
  <c r="N17" i="2"/>
  <c r="N19" i="2"/>
  <c r="N21" i="2"/>
  <c r="N23" i="2"/>
  <c r="N25" i="2"/>
  <c r="N27" i="2"/>
  <c r="N29" i="2"/>
  <c r="N31" i="2"/>
  <c r="N33" i="2"/>
  <c r="N35" i="2"/>
  <c r="N37" i="2"/>
  <c r="N39" i="2"/>
  <c r="N41" i="2"/>
  <c r="N43" i="2"/>
  <c r="N45" i="2"/>
  <c r="N47" i="2"/>
  <c r="N49" i="2"/>
  <c r="N51" i="2"/>
  <c r="N53" i="2"/>
  <c r="N55" i="2"/>
  <c r="N57" i="2"/>
  <c r="N59" i="2"/>
  <c r="N61" i="2"/>
  <c r="N63" i="2"/>
  <c r="N65" i="2"/>
  <c r="N67" i="2"/>
  <c r="N69" i="2"/>
  <c r="N71" i="2"/>
  <c r="N73" i="2"/>
  <c r="N75" i="2"/>
  <c r="N77" i="2"/>
  <c r="N79" i="2"/>
  <c r="N81" i="2"/>
  <c r="N83" i="2"/>
  <c r="N85" i="2"/>
  <c r="N87" i="2"/>
  <c r="N89" i="2"/>
  <c r="N91" i="2"/>
  <c r="N93" i="2"/>
  <c r="N95" i="2"/>
  <c r="N97" i="2"/>
  <c r="N99" i="2"/>
  <c r="N101" i="2"/>
  <c r="N103" i="2"/>
  <c r="N105" i="2"/>
  <c r="N107" i="2"/>
  <c r="N10" i="2"/>
  <c r="N14" i="2"/>
  <c r="N18" i="2"/>
  <c r="N22" i="2"/>
  <c r="N26" i="2"/>
  <c r="N30" i="2"/>
  <c r="N34" i="2"/>
  <c r="N38" i="2"/>
  <c r="N42" i="2"/>
  <c r="N46" i="2"/>
  <c r="N50" i="2"/>
  <c r="N54" i="2"/>
  <c r="N58" i="2"/>
  <c r="N62" i="2"/>
  <c r="N66" i="2"/>
  <c r="N70" i="2"/>
  <c r="N74" i="2"/>
  <c r="N78" i="2"/>
  <c r="N82" i="2"/>
  <c r="N86" i="2"/>
  <c r="N90" i="2"/>
  <c r="N94" i="2"/>
  <c r="N98" i="2"/>
  <c r="N102" i="2"/>
  <c r="N106" i="2"/>
  <c r="N16" i="2"/>
  <c r="N24" i="2"/>
  <c r="N32" i="2"/>
  <c r="N40" i="2"/>
  <c r="N48" i="2"/>
  <c r="N56" i="2"/>
  <c r="N64" i="2"/>
  <c r="N72" i="2"/>
  <c r="N80" i="2"/>
  <c r="N88" i="2"/>
  <c r="N96" i="2"/>
  <c r="N104" i="2"/>
  <c r="N12" i="2"/>
  <c r="N20" i="2"/>
  <c r="N28" i="2"/>
  <c r="N36" i="2"/>
  <c r="N44" i="2"/>
  <c r="N52" i="2"/>
  <c r="N60" i="2"/>
  <c r="N68" i="2"/>
  <c r="N76" i="2"/>
  <c r="N92" i="2"/>
  <c r="N100" i="2"/>
  <c r="N108" i="2"/>
  <c r="N84" i="2"/>
  <c r="R11" i="2"/>
  <c r="R13" i="2"/>
  <c r="R15" i="2"/>
  <c r="R17" i="2"/>
  <c r="R19" i="2"/>
  <c r="R21" i="2"/>
  <c r="R23" i="2"/>
  <c r="R25" i="2"/>
  <c r="R27" i="2"/>
  <c r="R29" i="2"/>
  <c r="R31" i="2"/>
  <c r="R33" i="2"/>
  <c r="R35" i="2"/>
  <c r="R37" i="2"/>
  <c r="R39" i="2"/>
  <c r="R41" i="2"/>
  <c r="R43" i="2"/>
  <c r="R10" i="2"/>
  <c r="R12" i="2"/>
  <c r="R14" i="2"/>
  <c r="R16" i="2"/>
  <c r="R18" i="2"/>
  <c r="R20" i="2"/>
  <c r="R22" i="2"/>
  <c r="R24" i="2"/>
  <c r="R26" i="2"/>
  <c r="R28" i="2"/>
  <c r="R30" i="2"/>
  <c r="R32" i="2"/>
  <c r="R34" i="2"/>
  <c r="R36" i="2"/>
  <c r="R38" i="2"/>
  <c r="R40" i="2"/>
  <c r="R42" i="2"/>
  <c r="R44" i="2"/>
  <c r="R45" i="2"/>
  <c r="R47" i="2"/>
  <c r="R49" i="2"/>
  <c r="R51" i="2"/>
  <c r="R53" i="2"/>
  <c r="R55" i="2"/>
  <c r="R57" i="2"/>
  <c r="R59" i="2"/>
  <c r="R61" i="2"/>
  <c r="R63" i="2"/>
  <c r="R65" i="2"/>
  <c r="R67" i="2"/>
  <c r="R69" i="2"/>
  <c r="R71" i="2"/>
  <c r="R73" i="2"/>
  <c r="R75" i="2"/>
  <c r="R77" i="2"/>
  <c r="R79" i="2"/>
  <c r="R81" i="2"/>
  <c r="R83" i="2"/>
  <c r="R85" i="2"/>
  <c r="R87" i="2"/>
  <c r="R89" i="2"/>
  <c r="R91" i="2"/>
  <c r="R93" i="2"/>
  <c r="R95" i="2"/>
  <c r="R97" i="2"/>
  <c r="R99" i="2"/>
  <c r="R101" i="2"/>
  <c r="R103" i="2"/>
  <c r="R105" i="2"/>
  <c r="R107" i="2"/>
  <c r="R48" i="2"/>
  <c r="R52" i="2"/>
  <c r="R56" i="2"/>
  <c r="R60" i="2"/>
  <c r="R64" i="2"/>
  <c r="R68" i="2"/>
  <c r="R72" i="2"/>
  <c r="R76" i="2"/>
  <c r="R80" i="2"/>
  <c r="R84" i="2"/>
  <c r="R88" i="2"/>
  <c r="R92" i="2"/>
  <c r="R96" i="2"/>
  <c r="R100" i="2"/>
  <c r="R104" i="2"/>
  <c r="R108" i="2"/>
  <c r="R46" i="2"/>
  <c r="R54" i="2"/>
  <c r="R62" i="2"/>
  <c r="R70" i="2"/>
  <c r="R78" i="2"/>
  <c r="R86" i="2"/>
  <c r="R94" i="2"/>
  <c r="R102" i="2"/>
  <c r="R50" i="2"/>
  <c r="R58" i="2"/>
  <c r="R66" i="2"/>
  <c r="R74" i="2"/>
  <c r="R82" i="2"/>
  <c r="R90" i="2"/>
  <c r="R98" i="2"/>
  <c r="R106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Y102" i="2"/>
  <c r="Y104" i="2"/>
  <c r="Y106" i="2"/>
  <c r="Y108" i="2"/>
  <c r="Y11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41" i="2"/>
  <c r="Y43" i="2"/>
  <c r="Y45" i="2"/>
  <c r="Y47" i="2"/>
  <c r="Y49" i="2"/>
  <c r="Y51" i="2"/>
  <c r="Y53" i="2"/>
  <c r="Y55" i="2"/>
  <c r="Y57" i="2"/>
  <c r="Y59" i="2"/>
  <c r="Y61" i="2"/>
  <c r="Y63" i="2"/>
  <c r="Y65" i="2"/>
  <c r="Y67" i="2"/>
  <c r="Y69" i="2"/>
  <c r="Y71" i="2"/>
  <c r="Y73" i="2"/>
  <c r="Y75" i="2"/>
  <c r="Y77" i="2"/>
  <c r="Y79" i="2"/>
  <c r="Y81" i="2"/>
  <c r="Y83" i="2"/>
  <c r="Y85" i="2"/>
  <c r="Y87" i="2"/>
  <c r="Y89" i="2"/>
  <c r="Y91" i="2"/>
  <c r="Y93" i="2"/>
  <c r="Y95" i="2"/>
  <c r="Y97" i="2"/>
  <c r="Y99" i="2"/>
  <c r="Y101" i="2"/>
  <c r="Y103" i="2"/>
  <c r="Y105" i="2"/>
  <c r="Y107" i="2"/>
  <c r="AV11" i="2"/>
  <c r="AV13" i="2"/>
  <c r="AV15" i="2"/>
  <c r="AV17" i="2"/>
  <c r="AV19" i="2"/>
  <c r="AV21" i="2"/>
  <c r="AV23" i="2"/>
  <c r="AV25" i="2"/>
  <c r="AV27" i="2"/>
  <c r="AV29" i="2"/>
  <c r="AV31" i="2"/>
  <c r="AV33" i="2"/>
  <c r="AV35" i="2"/>
  <c r="AV37" i="2"/>
  <c r="AV39" i="2"/>
  <c r="AV41" i="2"/>
  <c r="AV43" i="2"/>
  <c r="AV45" i="2"/>
  <c r="AV47" i="2"/>
  <c r="AV49" i="2"/>
  <c r="AV51" i="2"/>
  <c r="AV53" i="2"/>
  <c r="AV55" i="2"/>
  <c r="AV57" i="2"/>
  <c r="AV59" i="2"/>
  <c r="AV61" i="2"/>
  <c r="AV63" i="2"/>
  <c r="AV65" i="2"/>
  <c r="AV67" i="2"/>
  <c r="AV69" i="2"/>
  <c r="AV71" i="2"/>
  <c r="AV73" i="2"/>
  <c r="AV75" i="2"/>
  <c r="AV77" i="2"/>
  <c r="AV79" i="2"/>
  <c r="AV10" i="2"/>
  <c r="AV12" i="2"/>
  <c r="AV14" i="2"/>
  <c r="AV16" i="2"/>
  <c r="AV18" i="2"/>
  <c r="AV20" i="2"/>
  <c r="AV22" i="2"/>
  <c r="AV24" i="2"/>
  <c r="AV26" i="2"/>
  <c r="AV28" i="2"/>
  <c r="AV30" i="2"/>
  <c r="AV32" i="2"/>
  <c r="AV34" i="2"/>
  <c r="AV36" i="2"/>
  <c r="AV38" i="2"/>
  <c r="AV40" i="2"/>
  <c r="AV42" i="2"/>
  <c r="AV44" i="2"/>
  <c r="AV46" i="2"/>
  <c r="AV48" i="2"/>
  <c r="AV50" i="2"/>
  <c r="AV52" i="2"/>
  <c r="AV54" i="2"/>
  <c r="AV56" i="2"/>
  <c r="AV58" i="2"/>
  <c r="AV60" i="2"/>
  <c r="AV62" i="2"/>
  <c r="AV64" i="2"/>
  <c r="AV66" i="2"/>
  <c r="AV68" i="2"/>
  <c r="AV70" i="2"/>
  <c r="AV72" i="2"/>
  <c r="AV74" i="2"/>
  <c r="AV76" i="2"/>
  <c r="AV78" i="2"/>
  <c r="AV80" i="2"/>
  <c r="AV82" i="2"/>
  <c r="AV84" i="2"/>
  <c r="AV86" i="2"/>
  <c r="AV88" i="2"/>
  <c r="AV90" i="2"/>
  <c r="AV92" i="2"/>
  <c r="AV94" i="2"/>
  <c r="AV96" i="2"/>
  <c r="AV98" i="2"/>
  <c r="AV100" i="2"/>
  <c r="AV102" i="2"/>
  <c r="AV104" i="2"/>
  <c r="AV106" i="2"/>
  <c r="AV108" i="2"/>
  <c r="AV83" i="2"/>
  <c r="AV87" i="2"/>
  <c r="AV91" i="2"/>
  <c r="AV95" i="2"/>
  <c r="AV99" i="2"/>
  <c r="AV103" i="2"/>
  <c r="AV107" i="2"/>
  <c r="AV81" i="2"/>
  <c r="AV89" i="2"/>
  <c r="AV97" i="2"/>
  <c r="AV105" i="2"/>
  <c r="AV85" i="2"/>
  <c r="AV101" i="2"/>
  <c r="AV93" i="2"/>
  <c r="AT11" i="2"/>
  <c r="AT13" i="2"/>
  <c r="AT15" i="2"/>
  <c r="AT17" i="2"/>
  <c r="AT19" i="2"/>
  <c r="AT21" i="2"/>
  <c r="AT23" i="2"/>
  <c r="AT25" i="2"/>
  <c r="AT27" i="2"/>
  <c r="AT29" i="2"/>
  <c r="AT31" i="2"/>
  <c r="AT33" i="2"/>
  <c r="AT35" i="2"/>
  <c r="AT37" i="2"/>
  <c r="AT39" i="2"/>
  <c r="AT41" i="2"/>
  <c r="AT43" i="2"/>
  <c r="AT45" i="2"/>
  <c r="AT47" i="2"/>
  <c r="AT49" i="2"/>
  <c r="AT51" i="2"/>
  <c r="AT53" i="2"/>
  <c r="AT55" i="2"/>
  <c r="AT57" i="2"/>
  <c r="AT59" i="2"/>
  <c r="AT61" i="2"/>
  <c r="AT63" i="2"/>
  <c r="AT65" i="2"/>
  <c r="AT67" i="2"/>
  <c r="AT69" i="2"/>
  <c r="AT71" i="2"/>
  <c r="AT73" i="2"/>
  <c r="AT75" i="2"/>
  <c r="AT77" i="2"/>
  <c r="AT79" i="2"/>
  <c r="AT81" i="2"/>
  <c r="AT83" i="2"/>
  <c r="AT85" i="2"/>
  <c r="AT87" i="2"/>
  <c r="AT89" i="2"/>
  <c r="AT91" i="2"/>
  <c r="AT93" i="2"/>
  <c r="AT95" i="2"/>
  <c r="AT97" i="2"/>
  <c r="AT99" i="2"/>
  <c r="AT101" i="2"/>
  <c r="AT103" i="2"/>
  <c r="AT105" i="2"/>
  <c r="AT107" i="2"/>
  <c r="AT12" i="2"/>
  <c r="AT16" i="2"/>
  <c r="AT20" i="2"/>
  <c r="AT24" i="2"/>
  <c r="AT28" i="2"/>
  <c r="AT32" i="2"/>
  <c r="AT36" i="2"/>
  <c r="AT40" i="2"/>
  <c r="AT44" i="2"/>
  <c r="AT48" i="2"/>
  <c r="AT52" i="2"/>
  <c r="AT56" i="2"/>
  <c r="AT60" i="2"/>
  <c r="AT64" i="2"/>
  <c r="AT68" i="2"/>
  <c r="AT72" i="2"/>
  <c r="AT76" i="2"/>
  <c r="AT80" i="2"/>
  <c r="AT84" i="2"/>
  <c r="AT88" i="2"/>
  <c r="AT92" i="2"/>
  <c r="AT96" i="2"/>
  <c r="AT100" i="2"/>
  <c r="AT104" i="2"/>
  <c r="AT108" i="2"/>
  <c r="AT14" i="2"/>
  <c r="AT22" i="2"/>
  <c r="AT30" i="2"/>
  <c r="AT38" i="2"/>
  <c r="AT46" i="2"/>
  <c r="AT54" i="2"/>
  <c r="AT62" i="2"/>
  <c r="AT70" i="2"/>
  <c r="AT78" i="2"/>
  <c r="AT86" i="2"/>
  <c r="AT94" i="2"/>
  <c r="AT102" i="2"/>
  <c r="AT18" i="2"/>
  <c r="AT34" i="2"/>
  <c r="AT50" i="2"/>
  <c r="AT66" i="2"/>
  <c r="AT82" i="2"/>
  <c r="AT98" i="2"/>
  <c r="AT10" i="2"/>
  <c r="AT26" i="2"/>
  <c r="AT42" i="2"/>
  <c r="AT58" i="2"/>
  <c r="AT74" i="2"/>
  <c r="AT90" i="2"/>
  <c r="AT106" i="2"/>
  <c r="AX10" i="2"/>
  <c r="AX12" i="2"/>
  <c r="AX14" i="2"/>
  <c r="AX16" i="2"/>
  <c r="AX18" i="2"/>
  <c r="AX20" i="2"/>
  <c r="AX22" i="2"/>
  <c r="AX24" i="2"/>
  <c r="AX26" i="2"/>
  <c r="AX28" i="2"/>
  <c r="AX30" i="2"/>
  <c r="AX32" i="2"/>
  <c r="AX34" i="2"/>
  <c r="AX36" i="2"/>
  <c r="AX38" i="2"/>
  <c r="AX40" i="2"/>
  <c r="AX42" i="2"/>
  <c r="AX44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AX78" i="2"/>
  <c r="AX80" i="2"/>
  <c r="AX82" i="2"/>
  <c r="AX84" i="2"/>
  <c r="AX86" i="2"/>
  <c r="AX88" i="2"/>
  <c r="AX90" i="2"/>
  <c r="AX92" i="2"/>
  <c r="AX94" i="2"/>
  <c r="AX96" i="2"/>
  <c r="AX98" i="2"/>
  <c r="AX100" i="2"/>
  <c r="AX102" i="2"/>
  <c r="AX104" i="2"/>
  <c r="AX106" i="2"/>
  <c r="AX108" i="2"/>
  <c r="AX11" i="2"/>
  <c r="AX13" i="2"/>
  <c r="AX15" i="2"/>
  <c r="AX17" i="2"/>
  <c r="AX19" i="2"/>
  <c r="AX21" i="2"/>
  <c r="AX23" i="2"/>
  <c r="AX25" i="2"/>
  <c r="AX27" i="2"/>
  <c r="AX29" i="2"/>
  <c r="AX31" i="2"/>
  <c r="AX33" i="2"/>
  <c r="AX35" i="2"/>
  <c r="AX37" i="2"/>
  <c r="AX39" i="2"/>
  <c r="AX41" i="2"/>
  <c r="AX43" i="2"/>
  <c r="AX45" i="2"/>
  <c r="AX47" i="2"/>
  <c r="AX49" i="2"/>
  <c r="AX51" i="2"/>
  <c r="AX53" i="2"/>
  <c r="AX55" i="2"/>
  <c r="AX57" i="2"/>
  <c r="AX59" i="2"/>
  <c r="AX61" i="2"/>
  <c r="AX63" i="2"/>
  <c r="AX65" i="2"/>
  <c r="AX67" i="2"/>
  <c r="AX69" i="2"/>
  <c r="AX71" i="2"/>
  <c r="AX73" i="2"/>
  <c r="AX75" i="2"/>
  <c r="AX77" i="2"/>
  <c r="AX79" i="2"/>
  <c r="AX81" i="2"/>
  <c r="AX83" i="2"/>
  <c r="AX85" i="2"/>
  <c r="AX87" i="2"/>
  <c r="AX89" i="2"/>
  <c r="AX91" i="2"/>
  <c r="AX93" i="2"/>
  <c r="AX95" i="2"/>
  <c r="AX97" i="2"/>
  <c r="AX99" i="2"/>
  <c r="AX101" i="2"/>
  <c r="AX103" i="2"/>
  <c r="AX105" i="2"/>
  <c r="AX107" i="2"/>
  <c r="AV9" i="2"/>
  <c r="AX9" i="2"/>
  <c r="AT9" i="2"/>
  <c r="AJ9" i="2"/>
  <c r="AH9" i="2"/>
  <c r="AF9" i="2"/>
  <c r="AA9" i="2"/>
  <c r="Y9" i="2"/>
  <c r="W9" i="2"/>
  <c r="R9" i="2"/>
  <c r="P9" i="2"/>
  <c r="N9" i="2"/>
  <c r="K9" i="2"/>
  <c r="L10" i="2"/>
  <c r="L12" i="2"/>
  <c r="L14" i="2"/>
  <c r="L16" i="2"/>
  <c r="L18" i="2"/>
  <c r="L20" i="2"/>
  <c r="L22" i="2"/>
  <c r="L24" i="2"/>
  <c r="L26" i="2"/>
  <c r="L28" i="2"/>
  <c r="L30" i="2"/>
  <c r="L32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G9" i="2"/>
  <c r="E9" i="2"/>
  <c r="U8" i="2"/>
  <c r="AD8" i="2"/>
  <c r="AK8" i="2"/>
  <c r="L8" i="2"/>
  <c r="F25" i="13"/>
  <c r="F34" i="13" s="1"/>
  <c r="B17" i="6" l="1"/>
  <c r="BA55" i="2"/>
  <c r="BA47" i="2"/>
  <c r="BA39" i="2"/>
  <c r="BA31" i="2"/>
  <c r="E33" i="6"/>
  <c r="H33" i="6" s="1"/>
  <c r="BA23" i="2"/>
  <c r="E25" i="6"/>
  <c r="H25" i="6" s="1"/>
  <c r="BA15" i="2"/>
  <c r="E17" i="6"/>
  <c r="H17" i="6" s="1"/>
  <c r="BA56" i="2"/>
  <c r="BA44" i="2"/>
  <c r="E38" i="6"/>
  <c r="H38" i="6" s="1"/>
  <c r="BA36" i="2"/>
  <c r="E30" i="6"/>
  <c r="H30" i="6" s="1"/>
  <c r="BA28" i="2"/>
  <c r="E18" i="6"/>
  <c r="H18" i="6" s="1"/>
  <c r="BA16" i="2"/>
  <c r="BA51" i="2"/>
  <c r="BA43" i="2"/>
  <c r="BA35" i="2"/>
  <c r="E37" i="6"/>
  <c r="H37" i="6" s="1"/>
  <c r="BA27" i="2"/>
  <c r="E29" i="6"/>
  <c r="H29" i="6" s="1"/>
  <c r="BA19" i="2"/>
  <c r="E21" i="6"/>
  <c r="H21" i="6" s="1"/>
  <c r="E13" i="6"/>
  <c r="H13" i="6" s="1"/>
  <c r="BA11" i="2"/>
  <c r="BA52" i="2"/>
  <c r="BA48" i="2"/>
  <c r="BA40" i="2"/>
  <c r="E34" i="6"/>
  <c r="H34" i="6" s="1"/>
  <c r="BA32" i="2"/>
  <c r="E26" i="6"/>
  <c r="H26" i="6" s="1"/>
  <c r="BA24" i="2"/>
  <c r="E22" i="6"/>
  <c r="H22" i="6" s="1"/>
  <c r="BA20" i="2"/>
  <c r="E14" i="6"/>
  <c r="H14" i="6" s="1"/>
  <c r="BA12" i="2"/>
  <c r="BA57" i="2"/>
  <c r="BA53" i="2"/>
  <c r="BA49" i="2"/>
  <c r="BA45" i="2"/>
  <c r="BA41" i="2"/>
  <c r="BA37" i="2"/>
  <c r="E39" i="6"/>
  <c r="H39" i="6" s="1"/>
  <c r="BA33" i="2"/>
  <c r="E35" i="6"/>
  <c r="H35" i="6" s="1"/>
  <c r="BA29" i="2"/>
  <c r="E31" i="6"/>
  <c r="H31" i="6" s="1"/>
  <c r="BA25" i="2"/>
  <c r="E27" i="6"/>
  <c r="H27" i="6" s="1"/>
  <c r="BA21" i="2"/>
  <c r="E23" i="6"/>
  <c r="H23" i="6" s="1"/>
  <c r="BA17" i="2"/>
  <c r="E19" i="6"/>
  <c r="H19" i="6" s="1"/>
  <c r="BA13" i="2"/>
  <c r="E15" i="6"/>
  <c r="H15" i="6" s="1"/>
  <c r="BA58" i="2"/>
  <c r="BA54" i="2"/>
  <c r="BA50" i="2"/>
  <c r="BA46" i="2"/>
  <c r="BA42" i="2"/>
  <c r="E40" i="6"/>
  <c r="H40" i="6" s="1"/>
  <c r="BA38" i="2"/>
  <c r="E36" i="6"/>
  <c r="H36" i="6" s="1"/>
  <c r="BA34" i="2"/>
  <c r="E32" i="6"/>
  <c r="H32" i="6" s="1"/>
  <c r="BA30" i="2"/>
  <c r="E28" i="6"/>
  <c r="H28" i="6" s="1"/>
  <c r="BA26" i="2"/>
  <c r="E24" i="6"/>
  <c r="H24" i="6" s="1"/>
  <c r="BA22" i="2"/>
  <c r="E20" i="6"/>
  <c r="H20" i="6" s="1"/>
  <c r="BA18" i="2"/>
  <c r="E16" i="6"/>
  <c r="H16" i="6" s="1"/>
  <c r="BA14" i="2"/>
  <c r="E12" i="6"/>
  <c r="H12" i="6" s="1"/>
  <c r="BA10" i="2"/>
  <c r="BA8" i="2"/>
  <c r="AZ8" i="2"/>
  <c r="B18" i="6" l="1"/>
  <c r="H10" i="6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19" i="6" l="1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5" i="15"/>
  <c r="B20" i="6" l="1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11" i="6"/>
  <c r="B21" i="6" l="1"/>
  <c r="L5" i="15"/>
  <c r="H5" i="15"/>
  <c r="I5" i="15"/>
  <c r="D5" i="15"/>
  <c r="J5" i="15"/>
  <c r="G5" i="15"/>
  <c r="F5" i="15"/>
  <c r="M5" i="15"/>
  <c r="N5" i="15"/>
  <c r="H9" i="15" l="1"/>
  <c r="G8" i="15"/>
  <c r="I9" i="15"/>
  <c r="M7" i="15"/>
  <c r="H8" i="15"/>
  <c r="H7" i="15"/>
  <c r="F8" i="15"/>
  <c r="M9" i="15"/>
  <c r="D6" i="15"/>
  <c r="G9" i="15"/>
  <c r="I8" i="15"/>
  <c r="J9" i="15"/>
  <c r="G6" i="15"/>
  <c r="I6" i="15"/>
  <c r="J7" i="15"/>
  <c r="D7" i="15"/>
  <c r="J6" i="15"/>
  <c r="I7" i="15"/>
  <c r="N9" i="15"/>
  <c r="F7" i="15"/>
  <c r="M6" i="15"/>
  <c r="F9" i="15"/>
  <c r="M8" i="15"/>
  <c r="N6" i="15"/>
  <c r="D9" i="15"/>
  <c r="L6" i="15"/>
  <c r="J8" i="15"/>
  <c r="L9" i="15"/>
  <c r="L8" i="15"/>
  <c r="D8" i="15"/>
  <c r="F6" i="15"/>
  <c r="L7" i="15"/>
  <c r="G7" i="15"/>
  <c r="N8" i="15"/>
  <c r="N7" i="15"/>
  <c r="H6" i="15"/>
  <c r="N48" i="15"/>
  <c r="D48" i="15"/>
  <c r="H46" i="15"/>
  <c r="J46" i="15"/>
  <c r="I44" i="15"/>
  <c r="D44" i="15"/>
  <c r="I42" i="15"/>
  <c r="D42" i="15"/>
  <c r="I40" i="15"/>
  <c r="F40" i="15"/>
  <c r="I38" i="15"/>
  <c r="J38" i="15"/>
  <c r="I36" i="15"/>
  <c r="D36" i="15"/>
  <c r="I34" i="15"/>
  <c r="D34" i="15"/>
  <c r="I32" i="15"/>
  <c r="F32" i="15"/>
  <c r="I30" i="15"/>
  <c r="L30" i="15"/>
  <c r="I28" i="15"/>
  <c r="D28" i="15"/>
  <c r="I26" i="15"/>
  <c r="D26" i="15"/>
  <c r="I24" i="15"/>
  <c r="F24" i="15"/>
  <c r="I22" i="15"/>
  <c r="L22" i="15"/>
  <c r="I20" i="15"/>
  <c r="D20" i="15"/>
  <c r="I18" i="15"/>
  <c r="D18" i="15"/>
  <c r="I16" i="15"/>
  <c r="F16" i="15"/>
  <c r="I14" i="15"/>
  <c r="L14" i="15"/>
  <c r="I12" i="15"/>
  <c r="D12" i="15"/>
  <c r="I10" i="15"/>
  <c r="D10" i="15"/>
  <c r="N47" i="15"/>
  <c r="F47" i="15"/>
  <c r="N45" i="15"/>
  <c r="M45" i="15"/>
  <c r="H45" i="15"/>
  <c r="N43" i="15"/>
  <c r="G43" i="15"/>
  <c r="N41" i="15"/>
  <c r="I41" i="15"/>
  <c r="H41" i="15"/>
  <c r="N39" i="15"/>
  <c r="I39" i="15"/>
  <c r="N37" i="15"/>
  <c r="M37" i="15"/>
  <c r="H37" i="15"/>
  <c r="N35" i="15"/>
  <c r="G35" i="15"/>
  <c r="F35" i="15"/>
  <c r="N33" i="15"/>
  <c r="I33" i="15"/>
  <c r="H33" i="15"/>
  <c r="N31" i="15"/>
  <c r="M48" i="15"/>
  <c r="J48" i="15"/>
  <c r="I48" i="15"/>
  <c r="M46" i="15"/>
  <c r="F46" i="15"/>
  <c r="G46" i="15"/>
  <c r="M44" i="15"/>
  <c r="J44" i="15"/>
  <c r="N44" i="15"/>
  <c r="M42" i="15"/>
  <c r="L42" i="15"/>
  <c r="G42" i="15"/>
  <c r="M40" i="15"/>
  <c r="N40" i="15"/>
  <c r="D40" i="15"/>
  <c r="M38" i="15"/>
  <c r="H38" i="15"/>
  <c r="G38" i="15"/>
  <c r="M36" i="15"/>
  <c r="J36" i="15"/>
  <c r="N36" i="15"/>
  <c r="M34" i="15"/>
  <c r="L34" i="15"/>
  <c r="G34" i="15"/>
  <c r="M32" i="15"/>
  <c r="N32" i="15"/>
  <c r="D32" i="15"/>
  <c r="M30" i="15"/>
  <c r="H30" i="15"/>
  <c r="J30" i="15"/>
  <c r="M28" i="15"/>
  <c r="J28" i="15"/>
  <c r="N28" i="15"/>
  <c r="M26" i="15"/>
  <c r="L26" i="15"/>
  <c r="G26" i="15"/>
  <c r="M24" i="15"/>
  <c r="N24" i="15"/>
  <c r="D24" i="15"/>
  <c r="M22" i="15"/>
  <c r="H22" i="15"/>
  <c r="J22" i="15"/>
  <c r="M20" i="15"/>
  <c r="J20" i="15"/>
  <c r="N20" i="15"/>
  <c r="M18" i="15"/>
  <c r="L18" i="15"/>
  <c r="G18" i="15"/>
  <c r="M16" i="15"/>
  <c r="N16" i="15"/>
  <c r="D16" i="15"/>
  <c r="M14" i="15"/>
  <c r="H14" i="15"/>
  <c r="J14" i="15"/>
  <c r="M12" i="15"/>
  <c r="J12" i="15"/>
  <c r="N12" i="15"/>
  <c r="M10" i="15"/>
  <c r="L10" i="15"/>
  <c r="G10" i="15"/>
  <c r="L47" i="15"/>
  <c r="I47" i="15"/>
  <c r="H47" i="15"/>
  <c r="L45" i="15"/>
  <c r="I45" i="15"/>
  <c r="D45" i="15"/>
  <c r="L43" i="15"/>
  <c r="H43" i="15"/>
  <c r="L41" i="15"/>
  <c r="G41" i="15"/>
  <c r="D41" i="15"/>
  <c r="L39" i="15"/>
  <c r="G39" i="15"/>
  <c r="H39" i="15"/>
  <c r="L37" i="15"/>
  <c r="I37" i="15"/>
  <c r="D37" i="15"/>
  <c r="L35" i="15"/>
  <c r="H35" i="15"/>
  <c r="L48" i="15"/>
  <c r="H48" i="15"/>
  <c r="D46" i="15"/>
  <c r="I46" i="15"/>
  <c r="H44" i="15"/>
  <c r="H42" i="15"/>
  <c r="J42" i="15"/>
  <c r="J40" i="15"/>
  <c r="F38" i="15"/>
  <c r="L38" i="15"/>
  <c r="H36" i="15"/>
  <c r="H34" i="15"/>
  <c r="J34" i="15"/>
  <c r="J32" i="15"/>
  <c r="F30" i="15"/>
  <c r="G30" i="15"/>
  <c r="H28" i="15"/>
  <c r="L46" i="15"/>
  <c r="G44" i="15"/>
  <c r="L40" i="15"/>
  <c r="D38" i="15"/>
  <c r="G36" i="15"/>
  <c r="L32" i="15"/>
  <c r="D30" i="15"/>
  <c r="G28" i="15"/>
  <c r="F26" i="15"/>
  <c r="L24" i="15"/>
  <c r="G24" i="15"/>
  <c r="D22" i="15"/>
  <c r="L20" i="15"/>
  <c r="G20" i="15"/>
  <c r="F18" i="15"/>
  <c r="L16" i="15"/>
  <c r="G16" i="15"/>
  <c r="D14" i="15"/>
  <c r="L12" i="15"/>
  <c r="G12" i="15"/>
  <c r="F10" i="15"/>
  <c r="J47" i="15"/>
  <c r="J43" i="15"/>
  <c r="M41" i="15"/>
  <c r="J39" i="15"/>
  <c r="J35" i="15"/>
  <c r="G33" i="15"/>
  <c r="F33" i="15"/>
  <c r="J31" i="15"/>
  <c r="F31" i="15"/>
  <c r="J29" i="15"/>
  <c r="J27" i="15"/>
  <c r="F27" i="15"/>
  <c r="J25" i="15"/>
  <c r="M25" i="15"/>
  <c r="J23" i="15"/>
  <c r="F23" i="15"/>
  <c r="J21" i="15"/>
  <c r="J19" i="15"/>
  <c r="I19" i="15"/>
  <c r="J17" i="15"/>
  <c r="M17" i="15"/>
  <c r="J15" i="15"/>
  <c r="F15" i="15"/>
  <c r="J13" i="15"/>
  <c r="J11" i="15"/>
  <c r="F11" i="15"/>
  <c r="M29" i="15"/>
  <c r="N27" i="15"/>
  <c r="N25" i="15"/>
  <c r="H25" i="15"/>
  <c r="N23" i="15"/>
  <c r="I23" i="15"/>
  <c r="M21" i="15"/>
  <c r="H21" i="15"/>
  <c r="G19" i="15"/>
  <c r="F19" i="15"/>
  <c r="I17" i="15"/>
  <c r="N15" i="15"/>
  <c r="N13" i="15"/>
  <c r="M13" i="15"/>
  <c r="N11" i="15"/>
  <c r="G11" i="15"/>
  <c r="L44" i="15"/>
  <c r="G40" i="15"/>
  <c r="L36" i="15"/>
  <c r="F34" i="15"/>
  <c r="G32" i="15"/>
  <c r="L28" i="15"/>
  <c r="N26" i="15"/>
  <c r="H24" i="15"/>
  <c r="N22" i="15"/>
  <c r="F20" i="15"/>
  <c r="N18" i="15"/>
  <c r="H16" i="15"/>
  <c r="N14" i="15"/>
  <c r="F12" i="15"/>
  <c r="N10" i="15"/>
  <c r="J45" i="15"/>
  <c r="F43" i="15"/>
  <c r="J41" i="15"/>
  <c r="F39" i="15"/>
  <c r="J37" i="15"/>
  <c r="I35" i="15"/>
  <c r="M33" i="15"/>
  <c r="L31" i="15"/>
  <c r="H31" i="15"/>
  <c r="L29" i="15"/>
  <c r="I29" i="15"/>
  <c r="D29" i="15"/>
  <c r="L27" i="15"/>
  <c r="L25" i="15"/>
  <c r="G25" i="15"/>
  <c r="L23" i="15"/>
  <c r="H23" i="15"/>
  <c r="L21" i="15"/>
  <c r="D21" i="15"/>
  <c r="H19" i="15"/>
  <c r="G17" i="15"/>
  <c r="L15" i="15"/>
  <c r="H15" i="15"/>
  <c r="I13" i="15"/>
  <c r="L11" i="15"/>
  <c r="H11" i="15"/>
  <c r="N46" i="15"/>
  <c r="F36" i="15"/>
  <c r="N30" i="15"/>
  <c r="F22" i="15"/>
  <c r="F14" i="15"/>
  <c r="H10" i="15"/>
  <c r="G45" i="15"/>
  <c r="M39" i="15"/>
  <c r="M35" i="15"/>
  <c r="D33" i="15"/>
  <c r="D31" i="15"/>
  <c r="F29" i="15"/>
  <c r="I27" i="15"/>
  <c r="G21" i="15"/>
  <c r="G13" i="15"/>
  <c r="F48" i="15"/>
  <c r="N42" i="15"/>
  <c r="H40" i="15"/>
  <c r="N34" i="15"/>
  <c r="H32" i="15"/>
  <c r="J26" i="15"/>
  <c r="J24" i="15"/>
  <c r="G22" i="15"/>
  <c r="H20" i="15"/>
  <c r="J18" i="15"/>
  <c r="J16" i="15"/>
  <c r="G14" i="15"/>
  <c r="H12" i="15"/>
  <c r="J10" i="15"/>
  <c r="G47" i="15"/>
  <c r="F45" i="15"/>
  <c r="I43" i="15"/>
  <c r="F41" i="15"/>
  <c r="F37" i="15"/>
  <c r="L33" i="15"/>
  <c r="I31" i="15"/>
  <c r="N29" i="15"/>
  <c r="H29" i="15"/>
  <c r="G27" i="15"/>
  <c r="I25" i="15"/>
  <c r="N21" i="15"/>
  <c r="N19" i="15"/>
  <c r="N17" i="15"/>
  <c r="H17" i="15"/>
  <c r="I15" i="15"/>
  <c r="H13" i="15"/>
  <c r="G48" i="15"/>
  <c r="F42" i="15"/>
  <c r="G31" i="15"/>
  <c r="H27" i="15"/>
  <c r="D25" i="15"/>
  <c r="G23" i="15"/>
  <c r="I21" i="15"/>
  <c r="L19" i="15"/>
  <c r="L17" i="15"/>
  <c r="D17" i="15"/>
  <c r="G15" i="15"/>
  <c r="L13" i="15"/>
  <c r="D13" i="15"/>
  <c r="F44" i="15"/>
  <c r="N38" i="15"/>
  <c r="F28" i="15"/>
  <c r="M47" i="15"/>
  <c r="M43" i="15"/>
  <c r="J33" i="15"/>
  <c r="M27" i="15"/>
  <c r="M23" i="15"/>
  <c r="M19" i="15"/>
  <c r="M15" i="15"/>
  <c r="D15" i="15"/>
  <c r="H26" i="15"/>
  <c r="H18" i="15"/>
  <c r="D47" i="15"/>
  <c r="D43" i="15"/>
  <c r="D39" i="15"/>
  <c r="G37" i="15"/>
  <c r="D35" i="15"/>
  <c r="M31" i="15"/>
  <c r="G29" i="15"/>
  <c r="D27" i="15"/>
  <c r="F25" i="15"/>
  <c r="D23" i="15"/>
  <c r="F21" i="15"/>
  <c r="D19" i="15"/>
  <c r="F17" i="15"/>
  <c r="M11" i="15"/>
  <c r="I11" i="15"/>
  <c r="F13" i="15"/>
  <c r="D11" i="15"/>
  <c r="K6" i="15" l="1"/>
  <c r="C22" i="15" l="1"/>
  <c r="C27" i="15"/>
  <c r="C48" i="15"/>
  <c r="C35" i="15"/>
  <c r="C15" i="15"/>
  <c r="C20" i="15"/>
  <c r="C10" i="15"/>
  <c r="C46" i="15"/>
  <c r="C36" i="15"/>
  <c r="C32" i="15"/>
  <c r="C30" i="15"/>
  <c r="C28" i="15"/>
  <c r="C26" i="15"/>
  <c r="K5" i="15"/>
  <c r="C19" i="15"/>
  <c r="C12" i="15"/>
  <c r="C34" i="15"/>
  <c r="C21" i="15"/>
  <c r="C16" i="15"/>
  <c r="C47" i="15"/>
  <c r="C45" i="15"/>
  <c r="C44" i="15"/>
  <c r="C40" i="15"/>
  <c r="C37" i="15"/>
  <c r="C14" i="15"/>
  <c r="K9" i="15"/>
  <c r="K8" i="15"/>
  <c r="K7" i="15"/>
  <c r="C8" i="15"/>
  <c r="C7" i="15"/>
  <c r="C6" i="15"/>
  <c r="E5" i="15"/>
  <c r="E9" i="15"/>
  <c r="E8" i="15"/>
  <c r="E6" i="15"/>
  <c r="C41" i="15"/>
  <c r="C33" i="15"/>
  <c r="C25" i="15"/>
  <c r="C17" i="15"/>
  <c r="C9" i="15"/>
  <c r="C13" i="15"/>
  <c r="C38" i="15"/>
  <c r="C11" i="15"/>
  <c r="C43" i="15"/>
  <c r="C29" i="15"/>
  <c r="C24" i="15"/>
  <c r="C31" i="15"/>
  <c r="C39" i="15"/>
  <c r="C42" i="15"/>
  <c r="C18" i="15"/>
  <c r="C23" i="15"/>
  <c r="K42" i="15"/>
  <c r="K34" i="15"/>
  <c r="K48" i="15"/>
  <c r="K15" i="15"/>
  <c r="K33" i="15"/>
  <c r="K14" i="15"/>
  <c r="K37" i="15"/>
  <c r="K23" i="15"/>
  <c r="K28" i="15"/>
  <c r="K18" i="15"/>
  <c r="K25" i="15"/>
  <c r="K17" i="15"/>
  <c r="K24" i="15"/>
  <c r="K11" i="15"/>
  <c r="K21" i="15"/>
  <c r="K43" i="15"/>
  <c r="K44" i="15"/>
  <c r="K36" i="15"/>
  <c r="K27" i="15"/>
  <c r="K20" i="15"/>
  <c r="K41" i="15"/>
  <c r="K40" i="15"/>
  <c r="K32" i="15"/>
  <c r="K19" i="15"/>
  <c r="K26" i="15"/>
  <c r="K29" i="15"/>
  <c r="K47" i="15"/>
  <c r="K39" i="15"/>
  <c r="K46" i="15"/>
  <c r="K38" i="15"/>
  <c r="K30" i="15"/>
  <c r="K16" i="15"/>
  <c r="K22" i="15"/>
  <c r="K45" i="15"/>
  <c r="K35" i="15"/>
  <c r="K31" i="15"/>
  <c r="K12" i="15"/>
  <c r="K10" i="15"/>
  <c r="C5" i="15"/>
  <c r="K13" i="15" l="1"/>
  <c r="E7" i="15"/>
  <c r="E45" i="15"/>
  <c r="E26" i="15"/>
  <c r="E10" i="15"/>
  <c r="E27" i="15"/>
  <c r="E42" i="15"/>
  <c r="E25" i="15"/>
  <c r="E17" i="15"/>
  <c r="E46" i="15"/>
  <c r="E33" i="15"/>
  <c r="E34" i="15"/>
  <c r="E16" i="15"/>
  <c r="E41" i="15"/>
  <c r="E40" i="15"/>
  <c r="E23" i="15"/>
  <c r="E15" i="15"/>
  <c r="E11" i="15"/>
  <c r="E12" i="15"/>
  <c r="E44" i="15"/>
  <c r="E29" i="15"/>
  <c r="E13" i="15"/>
  <c r="E19" i="15"/>
  <c r="E38" i="15"/>
  <c r="E20" i="15"/>
  <c r="E43" i="15"/>
  <c r="E35" i="15"/>
  <c r="E48" i="15"/>
  <c r="E32" i="15"/>
  <c r="E14" i="15"/>
  <c r="E36" i="15"/>
  <c r="E28" i="15"/>
  <c r="E21" i="15"/>
  <c r="E22" i="15"/>
  <c r="E39" i="15"/>
  <c r="E37" i="15"/>
  <c r="E18" i="15"/>
  <c r="E47" i="15"/>
  <c r="E30" i="15"/>
  <c r="E24" i="15"/>
  <c r="E31" i="15"/>
  <c r="AM60" i="1" l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5" i="1"/>
  <c r="AM14" i="1"/>
  <c r="AM13" i="1"/>
  <c r="AM12" i="1"/>
  <c r="AM11" i="1"/>
  <c r="AM10" i="1"/>
  <c r="AM9" i="1"/>
  <c r="AM8" i="1"/>
  <c r="AM7" i="1"/>
  <c r="L9" i="2" l="1"/>
  <c r="E11" i="6" s="1"/>
  <c r="I9" i="2"/>
  <c r="BA9" i="2" l="1"/>
  <c r="H11" i="6"/>
  <c r="B12" i="6"/>
</calcChain>
</file>

<file path=xl/sharedStrings.xml><?xml version="1.0" encoding="utf-8"?>
<sst xmlns="http://schemas.openxmlformats.org/spreadsheetml/2006/main" count="353" uniqueCount="194">
  <si>
    <t>Total</t>
  </si>
  <si>
    <t>Reg No.</t>
  </si>
  <si>
    <t>Student Name</t>
  </si>
  <si>
    <t>Degree</t>
  </si>
  <si>
    <t>Sr. No</t>
  </si>
  <si>
    <t>BEEE</t>
  </si>
  <si>
    <t>TEST CASE</t>
  </si>
  <si>
    <t>Data Structures</t>
  </si>
  <si>
    <t>Muhammad Rahmat Ullah Khan</t>
  </si>
  <si>
    <t>Muhammad Ahmad</t>
  </si>
  <si>
    <t>Muhammad Amir Muavia</t>
  </si>
  <si>
    <t>Waqas Khan</t>
  </si>
  <si>
    <t>Fahim Amanat</t>
  </si>
  <si>
    <t>Gul Mena</t>
  </si>
  <si>
    <t>Gulrukh Khan</t>
  </si>
  <si>
    <t>Adnan Hannan</t>
  </si>
  <si>
    <t>Junaid Ali</t>
  </si>
  <si>
    <t>Syed Mashood Shah</t>
  </si>
  <si>
    <t>Muhammad Usman</t>
  </si>
  <si>
    <t>Muhammad Shahzaib Baig</t>
  </si>
  <si>
    <t>Basit Nawaz</t>
  </si>
  <si>
    <t>Zeeshan Rauf</t>
  </si>
  <si>
    <t>Saad Jamil</t>
  </si>
  <si>
    <t>Muhammad Rameez Jameel</t>
  </si>
  <si>
    <t>Muhammad Adnan Hassan</t>
  </si>
  <si>
    <t>Owais</t>
  </si>
  <si>
    <t>Qumzah Muqadsa Habib</t>
  </si>
  <si>
    <t>Muhammad Irfan Gul</t>
  </si>
  <si>
    <t>Abdullah Umar</t>
  </si>
  <si>
    <t>Abrar Khan</t>
  </si>
  <si>
    <t>Syed Amir Jaffer</t>
  </si>
  <si>
    <t>Syed Shah Asad</t>
  </si>
  <si>
    <t>Sajid Rehman</t>
  </si>
  <si>
    <t>Mohsin Ai</t>
  </si>
  <si>
    <t>Bilal Sheikh</t>
  </si>
  <si>
    <t>Muhammad Kashif</t>
  </si>
  <si>
    <t>Farhan Ali</t>
  </si>
  <si>
    <t>Qazi Khurram Habib</t>
  </si>
  <si>
    <t>Adnan Rafiq</t>
  </si>
  <si>
    <t>Maria Zubairy</t>
  </si>
  <si>
    <t>Inam ul Hassan</t>
  </si>
  <si>
    <t>Mohsin Ahmed</t>
  </si>
  <si>
    <t>Muhammad Yasir</t>
  </si>
  <si>
    <t>Ibrahim</t>
  </si>
  <si>
    <t>Muhammad Umar Farooq</t>
  </si>
  <si>
    <t>Azam Jan</t>
  </si>
  <si>
    <t>Syed Kamil Raza</t>
  </si>
  <si>
    <t>Muhammad Taha Iqbal</t>
  </si>
  <si>
    <t xml:space="preserve"> Ahmad Riaz</t>
  </si>
  <si>
    <t>Umer Khitab</t>
  </si>
  <si>
    <t>Hussain Muhammad Abdullah</t>
  </si>
  <si>
    <t>Muhammad Haroon Amin</t>
  </si>
  <si>
    <t>Khalid Iqbal</t>
  </si>
  <si>
    <t>Muhammad Saqlain Asad</t>
  </si>
  <si>
    <t>Zariq Khan Sawati</t>
  </si>
  <si>
    <t>Wafa Yousaf Mir</t>
  </si>
  <si>
    <t>Rizwan Ullah</t>
  </si>
  <si>
    <t>Zaryab Mumtaz Khan</t>
  </si>
  <si>
    <t>Adnan Ahmad</t>
  </si>
  <si>
    <t>Samin Kainat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</si>
  <si>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</si>
  <si>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</si>
  <si>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</si>
  <si>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</si>
  <si>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</si>
  <si>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</si>
  <si>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</si>
  <si>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</si>
  <si>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</si>
  <si>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</si>
  <si>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</si>
  <si>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</si>
  <si>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</si>
  <si>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</si>
  <si>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</si>
  <si>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</si>
  <si>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Lec  1</t>
  </si>
  <si>
    <t>Lec  2</t>
  </si>
  <si>
    <t>Lec  3</t>
  </si>
  <si>
    <t>Lec  4</t>
  </si>
  <si>
    <t>Lec  5</t>
  </si>
  <si>
    <t>Lec  6</t>
  </si>
  <si>
    <t>Lec 7</t>
  </si>
  <si>
    <t>Lec  8</t>
  </si>
  <si>
    <t>Lec 11</t>
  </si>
  <si>
    <t>Lec 12</t>
  </si>
  <si>
    <t>Lec 13</t>
  </si>
  <si>
    <t>Lec 14</t>
  </si>
  <si>
    <t>Lec 15</t>
  </si>
  <si>
    <t>Lec 16</t>
  </si>
  <si>
    <t>Lec 17</t>
  </si>
  <si>
    <t xml:space="preserve">Attendance </t>
  </si>
  <si>
    <t>Lec 1</t>
  </si>
  <si>
    <t>Aizaz Ahmad</t>
  </si>
  <si>
    <t>p</t>
  </si>
  <si>
    <t>Lec 18</t>
  </si>
  <si>
    <r>
      <t>Spring 2012 -  Attendace</t>
    </r>
    <r>
      <rPr>
        <sz val="14"/>
        <rFont val="Calibri"/>
        <family val="2"/>
      </rPr>
      <t>[Updated: 18 Sept 2012]</t>
    </r>
  </si>
  <si>
    <t>Mirza Mudasar Jilanai</t>
  </si>
  <si>
    <t>Mid I</t>
  </si>
  <si>
    <t>Final</t>
  </si>
  <si>
    <t>Midterm</t>
  </si>
  <si>
    <t>Roll No.</t>
  </si>
  <si>
    <t>S. No.</t>
  </si>
  <si>
    <t>Abbreviations Used and Related Description</t>
  </si>
  <si>
    <t>Abbreviation</t>
  </si>
  <si>
    <t>Description</t>
  </si>
  <si>
    <t>Course Learning Outcome number n</t>
  </si>
  <si>
    <t>Lab</t>
  </si>
  <si>
    <t>Sr. No.</t>
  </si>
  <si>
    <t>PLO 1</t>
  </si>
  <si>
    <t>PLO 4</t>
  </si>
  <si>
    <t>PLO 5</t>
  </si>
  <si>
    <t>PLO 6</t>
  </si>
  <si>
    <t>PLO 7</t>
  </si>
  <si>
    <t>PLO 8</t>
  </si>
  <si>
    <t>PLO 10</t>
  </si>
  <si>
    <t>PLO 11</t>
  </si>
  <si>
    <t>PLO 12</t>
  </si>
  <si>
    <t>PLO 2</t>
  </si>
  <si>
    <t>PLO 3</t>
  </si>
  <si>
    <t>PLO 9</t>
  </si>
  <si>
    <t>Course Learning Outcomes (CLOs):</t>
  </si>
  <si>
    <t>Upon completion of the course, the student should be able to do the following:</t>
  </si>
  <si>
    <t xml:space="preserve">Course Objectives and Description: </t>
  </si>
  <si>
    <t>CLO n</t>
  </si>
  <si>
    <t>The objective of this course is to familiarize the student with</t>
  </si>
  <si>
    <t>Balochistan University of Engineering and Technology Khuzdar</t>
  </si>
  <si>
    <t>COMPUTER SYSTEMS ENGINEERING AND SCIENCES DEPARTMENT</t>
  </si>
  <si>
    <t>Session: Spring 2020</t>
  </si>
  <si>
    <t>Exams (Theory)</t>
  </si>
  <si>
    <t>Lab (Final Examination)</t>
  </si>
  <si>
    <t>Lab (Semester Work)</t>
  </si>
  <si>
    <t>No of CLOS (TH)</t>
  </si>
  <si>
    <t>No of CLOS (Lab)</t>
  </si>
  <si>
    <t xml:space="preserve">Total CLOs </t>
  </si>
  <si>
    <t>S.No</t>
  </si>
  <si>
    <t>CLO No</t>
  </si>
  <si>
    <t>Domain</t>
  </si>
  <si>
    <t>Linked PLO</t>
  </si>
  <si>
    <t xml:space="preserve">Sessional </t>
  </si>
  <si>
    <t xml:space="preserve">Total Marks CLOs </t>
  </si>
  <si>
    <t>Marks Distribution (Theory CLOs)</t>
  </si>
  <si>
    <t xml:space="preserve">CLO No </t>
  </si>
  <si>
    <t>Marks Distribution (Lab CLOs)</t>
  </si>
  <si>
    <t>Total Marks CLOs</t>
  </si>
  <si>
    <t>Semester Work</t>
  </si>
  <si>
    <t>Total Marks All Theory CLOs</t>
  </si>
  <si>
    <t>Total Marks All Lab CLOs</t>
  </si>
  <si>
    <t>Grand Total</t>
  </si>
  <si>
    <t>Kindly check that the value is 100 otherwise adjust your marks</t>
  </si>
  <si>
    <t xml:space="preserve">  Overall Total</t>
  </si>
  <si>
    <t>ATT</t>
  </si>
  <si>
    <t>Att</t>
  </si>
  <si>
    <t>%</t>
  </si>
  <si>
    <t>Examsheet</t>
  </si>
  <si>
    <t>Dept: Computer  Systems Engg.</t>
  </si>
  <si>
    <t xml:space="preserve">Semester        </t>
  </si>
  <si>
    <t>Batch:</t>
  </si>
  <si>
    <t>Semester:</t>
  </si>
  <si>
    <t>Overall LAB (Total)</t>
  </si>
  <si>
    <t xml:space="preserve">Mid Term Exam.       </t>
  </si>
  <si>
    <t xml:space="preserve">Total
</t>
  </si>
  <si>
    <t>Course Enrolment NO</t>
  </si>
  <si>
    <t>This is the  number provided in traditional award list</t>
  </si>
  <si>
    <t>NA</t>
  </si>
  <si>
    <t xml:space="preserve">Not Applicable </t>
  </si>
  <si>
    <t>CLO Attainment (50% required to achieve a CLO) Green Color/ Not achieved Red Color</t>
  </si>
  <si>
    <t>Domain with level from Bloom's Taxonomy e.g C3 indicates Cognative level 3</t>
  </si>
  <si>
    <t>No of Students Registered:</t>
  </si>
  <si>
    <t>CLO is achieved by a student in complete Semester including all modules</t>
  </si>
  <si>
    <t>CLO is not  achieved by a student in complete Semester including all modules</t>
  </si>
  <si>
    <t>COHORT</t>
  </si>
  <si>
    <t>Class %age in Passing/Attaining a particular CLO</t>
  </si>
  <si>
    <t>Course Enrlolment No: 116</t>
  </si>
  <si>
    <t>Sessional Marks (Theory)</t>
  </si>
  <si>
    <t xml:space="preserve">Final
</t>
  </si>
  <si>
    <t>Midterm (for Lab Only)</t>
  </si>
  <si>
    <t>Lab (Midterm) for Lab Only Courses</t>
  </si>
  <si>
    <t xml:space="preserve">Modterm </t>
  </si>
  <si>
    <t>*Midterm Marks will work ony for Lab only Courses with no Theory involved</t>
  </si>
  <si>
    <t>*For all theory + lab courses, Semester work and Final will be of 10 marks each</t>
  </si>
  <si>
    <t>*This Outline Sheet is linked with all Sheets so fill it carefully</t>
  </si>
  <si>
    <t>* All Total Columns in Gradesheet are automated so don’t fill them</t>
  </si>
  <si>
    <t>OBE Implementation Grade Sheet Version-3</t>
  </si>
  <si>
    <t>Course Title: Signals And Systems</t>
  </si>
  <si>
    <t>Course Code: EE-224</t>
  </si>
  <si>
    <t>Credit Hours: 3+1</t>
  </si>
  <si>
    <t>Course Teacher:  Dr Wazir Muhammad</t>
  </si>
  <si>
    <t>18CS03</t>
  </si>
  <si>
    <t>B.E (CSE) 4th Semester</t>
  </si>
  <si>
    <t>18CS01</t>
  </si>
  <si>
    <t>18CS04</t>
  </si>
  <si>
    <t>18CS05</t>
  </si>
  <si>
    <t>18CS07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</si>
</sst>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name val="Calibri"/>
    </font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</font>
    <font>
      <sz val="10"/>
      <name val="Calibri"/>
      <family val="2"/>
    </font>
    <font>
      <sz val="10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rgb="FF1F4A7E"/>
      <name val="Calibri"/>
      <family val="2"/>
    </font>
    <font>
      <b/>
      <sz val="18"/>
      <color rgb="FF000000"/>
      <name val="Times New Roman"/>
      <family val="1"/>
    </font>
    <font>
      <b/>
      <sz val="14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name val="Times New Roman"/>
      <family val="1"/>
    </font>
    <font>
      <b/>
      <sz val="11"/>
      <color rgb="FFFA7D00"/>
      <name val="Calibri"/>
      <family val="2"/>
    </font>
    <font>
      <sz val="11"/>
      <color rgb="FF9C0006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</font>
    <font>
      <sz val="14"/>
      <name val="Calibri"/>
      <family val="2"/>
    </font>
    <font>
      <sz val="14"/>
      <color rgb="FF000000"/>
      <name val="Impact"/>
      <family val="2"/>
    </font>
    <font>
      <sz val="11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u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2"/>
      <name val="Tahoma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2"/>
      <name val="Tahoma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sz val="12"/>
      <color rgb="FF000000"/>
      <name val="Times New Roman"/>
      <family val="1"/>
    </font>
    <font>
      <sz val="12"/>
      <name val="Calibri"/>
      <family val="2"/>
    </font>
    <font>
      <b/>
      <sz val="8"/>
      <color rgb="FF000000"/>
      <name val="Times New Roman"/>
      <family val="1"/>
    </font>
    <font>
      <b/>
      <sz val="12"/>
      <color rgb="FFFF0000"/>
      <name val="Times New Roman"/>
      <family val="1"/>
    </font>
    <font>
      <sz val="11"/>
      <name val="Calibri"/>
    </font>
    <font>
      <sz val="11"/>
      <color rgb="FFFF0000"/>
      <name val="Tahoma"/>
      <family val="2"/>
      <scheme val="minor"/>
    </font>
    <font>
      <sz val="12"/>
      <color rgb="FF000000"/>
      <name val="Tahoma"/>
      <family val="2"/>
      <scheme val="minor"/>
    </font>
    <font>
      <sz val="12"/>
      <name val="Tahoma"/>
      <family val="2"/>
      <scheme val="minor"/>
    </font>
    <font>
      <b/>
      <u/>
      <sz val="16"/>
      <color theme="5"/>
      <name val="Times New Roman"/>
      <family val="1"/>
    </font>
    <font>
      <b/>
      <sz val="12"/>
      <color theme="4"/>
      <name val="Times New Roman"/>
      <family val="1"/>
    </font>
    <font>
      <b/>
      <sz val="12"/>
      <color rgb="FF7030A0"/>
      <name val="Times New Roman"/>
      <family val="1"/>
    </font>
    <font>
      <b/>
      <sz val="18"/>
      <color rgb="FF00B050"/>
      <name val="Times New Roman"/>
      <family val="1"/>
    </font>
    <font>
      <b/>
      <sz val="12"/>
      <color rgb="FF000000"/>
      <name val="Calibri"/>
      <family val="2"/>
    </font>
    <font>
      <sz val="11"/>
      <color rgb="FF00B050"/>
      <name val="Tahoma"/>
      <family val="2"/>
      <scheme val="minor"/>
    </font>
    <font>
      <b/>
      <sz val="12"/>
      <color rgb="FFFF0000"/>
      <name val="Calibri"/>
      <family val="2"/>
    </font>
    <font>
      <sz val="8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rgb="FF5181BD"/>
      </patternFill>
    </fill>
    <fill>
      <patternFill patternType="solid">
        <fgColor rgb="FFC6EFCE"/>
      </patternFill>
    </fill>
    <fill>
      <patternFill patternType="solid">
        <fgColor rgb="FF96B3D7"/>
      </patternFill>
    </fill>
    <fill>
      <patternFill patternType="solid">
        <fgColor rgb="FFB7DDE8"/>
      </patternFill>
    </fill>
    <fill>
      <patternFill patternType="solid">
        <fgColor rgb="FFB9CCE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F2F2F2"/>
      </patternFill>
    </fill>
    <fill>
      <patternFill patternType="solid">
        <fgColor rgb="FFDCE5F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F33D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4">
    <xf numFmtId="0" fontId="0" fillId="0" borderId="0">
      <alignment vertical="center"/>
    </xf>
    <xf numFmtId="0" fontId="8" fillId="8" borderId="0">
      <protection locked="0"/>
    </xf>
    <xf numFmtId="0" fontId="22" fillId="16" borderId="63">
      <protection locked="0"/>
    </xf>
    <xf numFmtId="0" fontId="8" fillId="10" borderId="0">
      <protection locked="0"/>
    </xf>
    <xf numFmtId="0" fontId="23" fillId="6" borderId="0">
      <protection locked="0"/>
    </xf>
    <xf numFmtId="0" fontId="24" fillId="17" borderId="0">
      <protection locked="0"/>
    </xf>
    <xf numFmtId="0" fontId="25" fillId="9" borderId="0">
      <protection locked="0"/>
    </xf>
    <xf numFmtId="0" fontId="24" fillId="11" borderId="0">
      <protection locked="0"/>
    </xf>
    <xf numFmtId="0" fontId="24" fillId="12" borderId="0">
      <protection locked="0"/>
    </xf>
    <xf numFmtId="0" fontId="2" fillId="0" borderId="0"/>
    <xf numFmtId="9" fontId="2" fillId="0" borderId="0" applyFont="0" applyFill="0" applyBorder="0" applyAlignment="0" applyProtection="0"/>
    <xf numFmtId="0" fontId="35" fillId="0" borderId="0"/>
    <xf numFmtId="9" fontId="35" fillId="0" borderId="0" applyFont="0" applyFill="0" applyBorder="0" applyAlignment="0" applyProtection="0"/>
    <xf numFmtId="0" fontId="2" fillId="0" borderId="0"/>
    <xf numFmtId="0" fontId="36" fillId="0" borderId="0"/>
    <xf numFmtId="0" fontId="36" fillId="0" borderId="0"/>
    <xf numFmtId="0" fontId="37" fillId="0" borderId="0">
      <alignment vertical="top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0" borderId="0">
      <alignment vertical="top"/>
    </xf>
    <xf numFmtId="9" fontId="46" fillId="0" borderId="0" applyFont="0" applyFill="0" applyBorder="0" applyAlignment="0" applyProtection="0"/>
  </cellStyleXfs>
  <cellXfs count="308">
    <xf numFmtId="0" fontId="0" fillId="0" borderId="0" xfId="0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23" xfId="0" applyFont="1" applyFill="1" applyBorder="1" applyAlignment="1"/>
    <xf numFmtId="0" fontId="3" fillId="0" borderId="24" xfId="0" applyFont="1" applyFill="1" applyBorder="1" applyAlignment="1"/>
    <xf numFmtId="0" fontId="3" fillId="0" borderId="27" xfId="0" applyFont="1" applyFill="1" applyBorder="1" applyAlignment="1"/>
    <xf numFmtId="0" fontId="3" fillId="0" borderId="28" xfId="0" applyFont="1" applyFill="1" applyBorder="1" applyAlignment="1"/>
    <xf numFmtId="0" fontId="3" fillId="0" borderId="29" xfId="0" applyFont="1" applyFill="1" applyBorder="1" applyAlignment="1"/>
    <xf numFmtId="0" fontId="3" fillId="0" borderId="25" xfId="0" applyFont="1" applyFill="1" applyBorder="1" applyAlignment="1"/>
    <xf numFmtId="0" fontId="3" fillId="0" borderId="3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wrapText="1"/>
    </xf>
    <xf numFmtId="0" fontId="10" fillId="0" borderId="31" xfId="0" applyFont="1" applyFill="1" applyBorder="1" applyAlignment="1">
      <alignment horizontal="center" vertical="center"/>
    </xf>
    <xf numFmtId="0" fontId="11" fillId="0" borderId="18" xfId="0" applyNumberFormat="1" applyFont="1" applyBorder="1" applyAlignment="1" applyProtection="1">
      <alignment horizontal="center" vertical="center"/>
      <protection locked="0"/>
    </xf>
    <xf numFmtId="0" fontId="9" fillId="0" borderId="3" xfId="0" applyFont="1" applyFill="1" applyBorder="1" applyAlignment="1">
      <alignment horizontal="left" wrapText="1"/>
    </xf>
    <xf numFmtId="0" fontId="3" fillId="0" borderId="32" xfId="0" applyFont="1" applyFill="1" applyBorder="1" applyAlignment="1"/>
    <xf numFmtId="2" fontId="3" fillId="0" borderId="33" xfId="0" applyNumberFormat="1" applyFont="1" applyFill="1" applyBorder="1" applyAlignment="1"/>
    <xf numFmtId="0" fontId="3" fillId="0" borderId="33" xfId="0" applyFont="1" applyFill="1" applyBorder="1" applyAlignment="1"/>
    <xf numFmtId="0" fontId="3" fillId="3" borderId="33" xfId="0" applyFont="1" applyFill="1" applyBorder="1" applyAlignment="1"/>
    <xf numFmtId="0" fontId="3" fillId="0" borderId="34" xfId="0" applyFont="1" applyFill="1" applyBorder="1" applyAlignment="1"/>
    <xf numFmtId="0" fontId="3" fillId="0" borderId="35" xfId="0" applyFont="1" applyFill="1" applyBorder="1" applyAlignment="1"/>
    <xf numFmtId="0" fontId="3" fillId="0" borderId="10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  <protection locked="0"/>
    </xf>
    <xf numFmtId="0" fontId="9" fillId="0" borderId="10" xfId="0" applyFont="1" applyFill="1" applyBorder="1" applyAlignment="1">
      <alignment horizontal="left" wrapText="1"/>
    </xf>
    <xf numFmtId="0" fontId="3" fillId="0" borderId="37" xfId="0" applyFont="1" applyFill="1" applyBorder="1" applyAlignment="1"/>
    <xf numFmtId="0" fontId="3" fillId="0" borderId="38" xfId="0" applyFont="1" applyFill="1" applyBorder="1" applyAlignment="1"/>
    <xf numFmtId="0" fontId="3" fillId="3" borderId="38" xfId="0" applyFont="1" applyFill="1" applyBorder="1" applyAlignment="1"/>
    <xf numFmtId="0" fontId="3" fillId="0" borderId="39" xfId="0" applyFont="1" applyFill="1" applyBorder="1" applyAlignment="1"/>
    <xf numFmtId="0" fontId="12" fillId="0" borderId="37" xfId="0" applyFont="1" applyFill="1" applyBorder="1" applyAlignment="1"/>
    <xf numFmtId="0" fontId="13" fillId="0" borderId="37" xfId="0" applyFont="1" applyFill="1" applyBorder="1" applyAlignment="1"/>
    <xf numFmtId="0" fontId="11" fillId="0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30" xfId="0" applyFont="1" applyFill="1" applyBorder="1" applyAlignment="1">
      <alignment horizontal="center" vertical="center"/>
    </xf>
    <xf numFmtId="0" fontId="11" fillId="4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>
      <alignment horizontal="left" wrapText="1"/>
    </xf>
    <xf numFmtId="0" fontId="3" fillId="0" borderId="38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2" fontId="3" fillId="0" borderId="39" xfId="0" applyNumberFormat="1" applyFont="1" applyFill="1" applyBorder="1" applyAlignment="1"/>
    <xf numFmtId="0" fontId="9" fillId="0" borderId="21" xfId="0" applyFont="1" applyFill="1" applyBorder="1" applyAlignment="1">
      <alignment horizontal="left" wrapText="1"/>
    </xf>
    <xf numFmtId="0" fontId="3" fillId="0" borderId="40" xfId="0" applyFont="1" applyFill="1" applyBorder="1" applyAlignment="1"/>
    <xf numFmtId="0" fontId="3" fillId="0" borderId="41" xfId="0" applyFont="1" applyFill="1" applyBorder="1" applyAlignment="1"/>
    <xf numFmtId="0" fontId="3" fillId="0" borderId="41" xfId="0" applyFont="1" applyFill="1" applyBorder="1" applyAlignment="1">
      <alignment horizontal="center"/>
    </xf>
    <xf numFmtId="0" fontId="3" fillId="3" borderId="41" xfId="0" applyFont="1" applyFill="1" applyBorder="1" applyAlignment="1">
      <alignment horizontal="center"/>
    </xf>
    <xf numFmtId="2" fontId="3" fillId="0" borderId="42" xfId="0" applyNumberFormat="1" applyFont="1" applyFill="1" applyBorder="1" applyAlignment="1"/>
    <xf numFmtId="0" fontId="3" fillId="0" borderId="21" xfId="0" applyFont="1" applyFill="1" applyBorder="1" applyAlignment="1">
      <alignment horizontal="center" vertical="center"/>
    </xf>
    <xf numFmtId="0" fontId="14" fillId="5" borderId="0" xfId="0" applyFont="1" applyFill="1" applyAlignment="1"/>
    <xf numFmtId="0" fontId="14" fillId="5" borderId="43" xfId="0" applyFont="1" applyFill="1" applyBorder="1" applyAlignment="1">
      <alignment horizontal="center"/>
    </xf>
    <xf numFmtId="0" fontId="14" fillId="5" borderId="44" xfId="0" applyFont="1" applyFill="1" applyBorder="1" applyAlignment="1"/>
    <xf numFmtId="0" fontId="14" fillId="5" borderId="45" xfId="0" applyFont="1" applyFill="1" applyBorder="1" applyAlignment="1">
      <alignment horizontal="center" vertical="center"/>
    </xf>
    <xf numFmtId="0" fontId="14" fillId="5" borderId="45" xfId="0" applyFont="1" applyFill="1" applyBorder="1" applyAlignment="1"/>
    <xf numFmtId="0" fontId="3" fillId="0" borderId="46" xfId="0" applyFont="1" applyFill="1" applyBorder="1">
      <alignment vertical="center"/>
    </xf>
    <xf numFmtId="0" fontId="3" fillId="0" borderId="47" xfId="0" applyFont="1" applyFill="1" applyBorder="1">
      <alignment vertical="center"/>
    </xf>
    <xf numFmtId="0" fontId="3" fillId="0" borderId="47" xfId="0" applyFont="1" applyFill="1" applyBorder="1" applyAlignment="1">
      <alignment horizontal="center" vertical="center"/>
    </xf>
    <xf numFmtId="0" fontId="14" fillId="5" borderId="47" xfId="0" applyFont="1" applyFill="1" applyBorder="1">
      <alignment vertical="center"/>
    </xf>
    <xf numFmtId="0" fontId="14" fillId="5" borderId="48" xfId="0" applyFont="1" applyFill="1" applyBorder="1">
      <alignment vertical="center"/>
    </xf>
    <xf numFmtId="0" fontId="14" fillId="5" borderId="49" xfId="0" applyFont="1" applyFill="1" applyBorder="1" applyAlignment="1">
      <alignment horizontal="center" vertical="center"/>
    </xf>
    <xf numFmtId="0" fontId="15" fillId="0" borderId="0" xfId="0" applyFont="1" applyFill="1" applyAlignment="1"/>
    <xf numFmtId="0" fontId="15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15" fontId="3" fillId="0" borderId="0" xfId="0" applyNumberFormat="1" applyFont="1" applyFill="1" applyAlignment="1"/>
    <xf numFmtId="0" fontId="15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3" fillId="0" borderId="50" xfId="0" applyFont="1" applyBorder="1" applyAlignment="1">
      <alignment horizontal="center" vertical="center" wrapText="1"/>
    </xf>
    <xf numFmtId="0" fontId="2" fillId="0" borderId="56" xfId="9" applyBorder="1"/>
    <xf numFmtId="0" fontId="2" fillId="0" borderId="0" xfId="9" applyBorder="1"/>
    <xf numFmtId="0" fontId="2" fillId="0" borderId="0" xfId="9" applyBorder="1" applyAlignment="1">
      <alignment horizontal="center"/>
    </xf>
    <xf numFmtId="0" fontId="2" fillId="0" borderId="64" xfId="9" applyBorder="1"/>
    <xf numFmtId="0" fontId="17" fillId="0" borderId="0" xfId="3" applyFont="1" applyFill="1" applyAlignment="1" applyProtection="1">
      <alignment horizontal="center" vertical="center"/>
    </xf>
    <xf numFmtId="0" fontId="18" fillId="0" borderId="61" xfId="0" applyFont="1" applyBorder="1" applyAlignment="1" applyProtection="1">
      <alignment horizontal="center" vertical="center"/>
      <protection locked="0"/>
    </xf>
    <xf numFmtId="0" fontId="18" fillId="0" borderId="55" xfId="0" applyFont="1" applyBorder="1" applyAlignment="1" applyProtection="1">
      <alignment horizontal="left" vertical="center"/>
      <protection locked="0"/>
    </xf>
    <xf numFmtId="0" fontId="39" fillId="0" borderId="0" xfId="0" applyFont="1" applyAlignment="1">
      <alignment horizontal="justify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/>
    </xf>
    <xf numFmtId="0" fontId="40" fillId="23" borderId="50" xfId="0" applyFont="1" applyFill="1" applyBorder="1">
      <alignment vertical="center"/>
    </xf>
    <xf numFmtId="0" fontId="40" fillId="23" borderId="50" xfId="0" applyFont="1" applyFill="1" applyBorder="1" applyAlignment="1">
      <alignment horizontal="center" vertical="center"/>
    </xf>
    <xf numFmtId="0" fontId="18" fillId="0" borderId="0" xfId="5" applyFont="1" applyFill="1" applyBorder="1" applyAlignment="1" applyProtection="1">
      <alignment horizontal="center" vertical="center"/>
    </xf>
    <xf numFmtId="2" fontId="39" fillId="28" borderId="50" xfId="0" applyNumberFormat="1" applyFont="1" applyFill="1" applyBorder="1" applyAlignment="1" applyProtection="1">
      <alignment horizontal="center" vertical="center"/>
      <protection hidden="1"/>
    </xf>
    <xf numFmtId="0" fontId="18" fillId="0" borderId="61" xfId="0" applyFont="1" applyBorder="1" applyAlignment="1" applyProtection="1">
      <alignment horizontal="center" vertical="center"/>
      <protection hidden="1"/>
    </xf>
    <xf numFmtId="0" fontId="18" fillId="0" borderId="55" xfId="0" applyFont="1" applyBorder="1" applyAlignment="1" applyProtection="1">
      <alignment horizontal="left" vertical="center"/>
      <protection hidden="1"/>
    </xf>
    <xf numFmtId="0" fontId="28" fillId="0" borderId="50" xfId="0" applyFont="1" applyBorder="1" applyAlignment="1" applyProtection="1">
      <alignment horizontal="center" vertical="center"/>
      <protection hidden="1"/>
    </xf>
    <xf numFmtId="0" fontId="28" fillId="0" borderId="62" xfId="0" applyNumberFormat="1" applyFont="1" applyFill="1" applyBorder="1" applyAlignment="1" applyProtection="1">
      <alignment horizontal="center" vertical="center"/>
      <protection hidden="1"/>
    </xf>
    <xf numFmtId="1" fontId="28" fillId="0" borderId="62" xfId="0" applyNumberFormat="1" applyFont="1" applyFill="1" applyBorder="1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0" xfId="0" applyFont="1" applyBorder="1" applyAlignment="1" applyProtection="1">
      <alignment horizontal="center" vertical="center"/>
      <protection locked="0"/>
    </xf>
    <xf numFmtId="0" fontId="17" fillId="0" borderId="0" xfId="3" applyFont="1" applyFill="1" applyAlignment="1" applyProtection="1">
      <alignment vertical="center"/>
    </xf>
    <xf numFmtId="0" fontId="17" fillId="0" borderId="0" xfId="3" applyFont="1" applyFill="1" applyAlignment="1" applyProtection="1">
      <alignment horizontal="center" vertical="center"/>
    </xf>
    <xf numFmtId="0" fontId="20" fillId="0" borderId="0" xfId="0" applyFont="1" applyAlignment="1">
      <alignment vertical="center" wrapText="1"/>
    </xf>
    <xf numFmtId="0" fontId="17" fillId="0" borderId="0" xfId="3" applyFont="1" applyFill="1" applyAlignment="1" applyProtection="1">
      <alignment horizontal="center" vertical="center"/>
    </xf>
    <xf numFmtId="0" fontId="40" fillId="0" borderId="0" xfId="0" applyFont="1" applyAlignment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42" fillId="0" borderId="50" xfId="0" applyFont="1" applyBorder="1" applyAlignment="1">
      <alignment horizontal="center" vertical="center"/>
    </xf>
    <xf numFmtId="0" fontId="0" fillId="0" borderId="50" xfId="0" applyBorder="1">
      <alignment vertical="center"/>
    </xf>
    <xf numFmtId="0" fontId="42" fillId="0" borderId="50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20" fillId="0" borderId="0" xfId="0" applyFont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0" fontId="42" fillId="0" borderId="50" xfId="0" applyFont="1" applyFill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1" fontId="19" fillId="31" borderId="50" xfId="3" applyNumberFormat="1" applyFont="1" applyFill="1" applyBorder="1" applyAlignment="1" applyProtection="1">
      <alignment horizontal="center" vertical="center"/>
    </xf>
    <xf numFmtId="0" fontId="17" fillId="0" borderId="60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1" fillId="0" borderId="50" xfId="0" applyFont="1" applyFill="1" applyBorder="1" applyAlignment="1" applyProtection="1">
      <alignment horizontal="center"/>
      <protection locked="0"/>
    </xf>
    <xf numFmtId="0" fontId="21" fillId="0" borderId="50" xfId="0" applyFont="1" applyFill="1" applyBorder="1" applyAlignment="1" applyProtection="1">
      <protection locked="0"/>
    </xf>
    <xf numFmtId="0" fontId="3" fillId="0" borderId="50" xfId="0" applyFont="1" applyFill="1" applyBorder="1" applyAlignment="1" applyProtection="1">
      <alignment horizontal="center"/>
      <protection locked="0"/>
    </xf>
    <xf numFmtId="0" fontId="3" fillId="0" borderId="50" xfId="0" applyFont="1" applyFill="1" applyBorder="1" applyAlignment="1" applyProtection="1">
      <protection locked="0"/>
    </xf>
    <xf numFmtId="0" fontId="43" fillId="0" borderId="50" xfId="0" applyFont="1" applyBorder="1">
      <alignment vertical="center"/>
    </xf>
    <xf numFmtId="0" fontId="20" fillId="0" borderId="50" xfId="0" applyFont="1" applyBorder="1" applyAlignment="1">
      <alignment vertical="center" wrapText="1"/>
    </xf>
    <xf numFmtId="0" fontId="42" fillId="0" borderId="50" xfId="0" applyFont="1" applyBorder="1" applyAlignment="1">
      <alignment horizontal="center" vertical="center" wrapText="1"/>
    </xf>
    <xf numFmtId="0" fontId="48" fillId="0" borderId="50" xfId="0" applyFont="1" applyBorder="1">
      <alignment vertical="center"/>
    </xf>
    <xf numFmtId="0" fontId="49" fillId="0" borderId="50" xfId="0" applyFont="1" applyBorder="1">
      <alignment vertical="center"/>
    </xf>
    <xf numFmtId="0" fontId="0" fillId="0" borderId="50" xfId="0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6" fillId="0" borderId="50" xfId="0" applyFont="1" applyBorder="1">
      <alignment vertical="center"/>
    </xf>
    <xf numFmtId="0" fontId="19" fillId="0" borderId="50" xfId="0" applyFont="1" applyBorder="1" applyAlignment="1">
      <alignment horizontal="center" vertical="center" wrapText="1"/>
    </xf>
    <xf numFmtId="0" fontId="19" fillId="25" borderId="50" xfId="0" applyFont="1" applyFill="1" applyBorder="1" applyAlignment="1">
      <alignment horizontal="center" vertical="center" wrapText="1"/>
    </xf>
    <xf numFmtId="0" fontId="19" fillId="26" borderId="55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9" fillId="33" borderId="50" xfId="3" applyNumberFormat="1" applyFont="1" applyFill="1" applyBorder="1" applyAlignment="1" applyProtection="1">
      <alignment horizontal="center" vertical="center"/>
    </xf>
    <xf numFmtId="1" fontId="19" fillId="27" borderId="50" xfId="3" applyNumberFormat="1" applyFont="1" applyFill="1" applyBorder="1" applyAlignment="1" applyProtection="1">
      <alignment horizontal="center" vertical="center"/>
    </xf>
    <xf numFmtId="1" fontId="18" fillId="13" borderId="50" xfId="3" applyNumberFormat="1" applyFont="1" applyFill="1" applyBorder="1" applyAlignment="1" applyProtection="1">
      <alignment horizontal="center" vertical="center"/>
      <protection hidden="1"/>
    </xf>
    <xf numFmtId="9" fontId="18" fillId="13" borderId="50" xfId="53" applyFont="1" applyFill="1" applyBorder="1" applyAlignment="1" applyProtection="1">
      <alignment horizontal="center" vertical="center"/>
      <protection hidden="1"/>
    </xf>
    <xf numFmtId="0" fontId="19" fillId="32" borderId="50" xfId="3" applyNumberFormat="1" applyFont="1" applyFill="1" applyBorder="1" applyAlignment="1" applyProtection="1">
      <alignment horizontal="center" vertical="center"/>
    </xf>
    <xf numFmtId="0" fontId="19" fillId="33" borderId="50" xfId="0" applyNumberFormat="1" applyFont="1" applyFill="1" applyBorder="1" applyAlignment="1">
      <alignment horizontal="center" vertical="center" wrapText="1"/>
    </xf>
    <xf numFmtId="1" fontId="19" fillId="25" borderId="50" xfId="3" applyNumberFormat="1" applyFont="1" applyFill="1" applyBorder="1" applyAlignment="1" applyProtection="1">
      <alignment horizontal="center" vertical="center" wrapText="1"/>
    </xf>
    <xf numFmtId="1" fontId="19" fillId="34" borderId="50" xfId="3" applyNumberFormat="1" applyFont="1" applyFill="1" applyBorder="1" applyAlignment="1" applyProtection="1">
      <alignment horizontal="center" vertical="center"/>
    </xf>
    <xf numFmtId="0" fontId="18" fillId="0" borderId="50" xfId="0" applyFont="1" applyBorder="1" applyAlignment="1" applyProtection="1">
      <alignment horizontal="left" vertical="center"/>
      <protection locked="0"/>
    </xf>
    <xf numFmtId="1" fontId="19" fillId="27" borderId="50" xfId="0" applyNumberFormat="1" applyFont="1" applyFill="1" applyBorder="1" applyAlignment="1" applyProtection="1">
      <alignment horizontal="center" wrapText="1"/>
      <protection hidden="1"/>
    </xf>
    <xf numFmtId="0" fontId="19" fillId="27" borderId="50" xfId="0" applyNumberFormat="1" applyFont="1" applyFill="1" applyBorder="1" applyAlignment="1">
      <alignment horizontal="center" vertical="center" wrapText="1"/>
    </xf>
    <xf numFmtId="1" fontId="19" fillId="27" borderId="50" xfId="3" applyNumberFormat="1" applyFont="1" applyFill="1" applyBorder="1" applyAlignment="1" applyProtection="1">
      <alignment horizontal="center" vertical="center" wrapText="1"/>
    </xf>
    <xf numFmtId="0" fontId="18" fillId="0" borderId="50" xfId="0" applyFont="1" applyBorder="1" applyAlignment="1" applyProtection="1">
      <alignment horizontal="center" vertical="center"/>
      <protection locked="0"/>
    </xf>
    <xf numFmtId="1" fontId="28" fillId="0" borderId="70" xfId="0" applyNumberFormat="1" applyFont="1" applyFill="1" applyBorder="1" applyAlignment="1" applyProtection="1">
      <alignment horizontal="center" vertical="center"/>
      <protection hidden="1"/>
    </xf>
    <xf numFmtId="1" fontId="28" fillId="0" borderId="52" xfId="0" applyNumberFormat="1" applyFont="1" applyBorder="1" applyAlignment="1" applyProtection="1">
      <alignment horizontal="center" vertical="center"/>
      <protection hidden="1"/>
    </xf>
    <xf numFmtId="0" fontId="19" fillId="31" borderId="50" xfId="1" applyFont="1" applyFill="1" applyBorder="1" applyAlignment="1" applyProtection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6" fillId="0" borderId="50" xfId="0" applyFont="1" applyFill="1" applyBorder="1" applyAlignment="1">
      <alignment horizontal="center" vertical="center"/>
    </xf>
    <xf numFmtId="0" fontId="40" fillId="31" borderId="0" xfId="0" applyFont="1" applyFill="1" applyAlignment="1">
      <alignment horizontal="center" vertical="center"/>
    </xf>
    <xf numFmtId="0" fontId="18" fillId="27" borderId="50" xfId="0" applyFont="1" applyFill="1" applyBorder="1" applyAlignment="1" applyProtection="1">
      <alignment horizontal="center" vertical="center" wrapText="1"/>
      <protection locked="0"/>
    </xf>
    <xf numFmtId="0" fontId="18" fillId="27" borderId="50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49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3" xfId="0" applyFont="1" applyBorder="1" applyAlignment="1">
      <alignment vertical="center" wrapText="1"/>
    </xf>
    <xf numFmtId="0" fontId="11" fillId="13" borderId="13" xfId="0" applyFont="1" applyFill="1" applyBorder="1" applyAlignment="1">
      <alignment vertical="center" wrapText="1"/>
    </xf>
    <xf numFmtId="0" fontId="11" fillId="13" borderId="14" xfId="0" applyFont="1" applyFill="1" applyBorder="1" applyAlignment="1">
      <alignment vertical="center" wrapText="1"/>
    </xf>
    <xf numFmtId="0" fontId="11" fillId="13" borderId="49" xfId="0" applyFont="1" applyFill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1" fontId="19" fillId="26" borderId="50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50" xfId="0" applyFont="1" applyBorder="1" applyAlignment="1">
      <alignment horizontal="center" vertical="center" wrapText="1"/>
    </xf>
    <xf numFmtId="9" fontId="18" fillId="21" borderId="50" xfId="53" applyFont="1" applyFill="1" applyBorder="1" applyAlignment="1" applyProtection="1">
      <alignment horizontal="center" vertical="center" wrapText="1"/>
    </xf>
    <xf numFmtId="9" fontId="18" fillId="14" borderId="50" xfId="53" applyFont="1" applyFill="1" applyBorder="1" applyAlignment="1" applyProtection="1">
      <alignment horizontal="center" vertical="center" wrapText="1"/>
    </xf>
    <xf numFmtId="9" fontId="18" fillId="15" borderId="50" xfId="53" applyFont="1" applyFill="1" applyBorder="1" applyAlignment="1" applyProtection="1">
      <alignment horizontal="center" vertical="center" wrapText="1"/>
    </xf>
    <xf numFmtId="1" fontId="18" fillId="4" borderId="50" xfId="3" applyNumberFormat="1" applyFont="1" applyFill="1" applyBorder="1" applyAlignment="1" applyProtection="1">
      <alignment horizontal="center" vertical="center"/>
    </xf>
    <xf numFmtId="0" fontId="19" fillId="26" borderId="59" xfId="1" applyFont="1" applyFill="1" applyBorder="1" applyAlignment="1" applyProtection="1">
      <alignment horizontal="center" vertical="center" wrapText="1"/>
    </xf>
    <xf numFmtId="0" fontId="18" fillId="27" borderId="52" xfId="0" applyFont="1" applyFill="1" applyBorder="1" applyAlignment="1" applyProtection="1">
      <alignment horizontal="center" vertical="center" wrapText="1"/>
      <protection locked="0"/>
    </xf>
    <xf numFmtId="0" fontId="19" fillId="26" borderId="61" xfId="1" applyFont="1" applyFill="1" applyBorder="1" applyAlignment="1" applyProtection="1">
      <alignment horizontal="center" vertical="center" wrapText="1"/>
    </xf>
    <xf numFmtId="1" fontId="19" fillId="24" borderId="50" xfId="8" applyNumberFormat="1" applyFont="1" applyFill="1" applyBorder="1" applyAlignment="1" applyProtection="1">
      <alignment horizontal="center" vertical="center"/>
    </xf>
    <xf numFmtId="1" fontId="19" fillId="24" borderId="53" xfId="8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40" fillId="0" borderId="50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45" fillId="0" borderId="0" xfId="0" applyFont="1" applyFill="1" applyBorder="1" applyAlignment="1">
      <alignment horizontal="left" vertical="center"/>
    </xf>
    <xf numFmtId="0" fontId="56" fillId="0" borderId="0" xfId="0" applyFont="1" applyBorder="1" applyAlignment="1">
      <alignment horizontal="left" vertical="center"/>
    </xf>
    <xf numFmtId="0" fontId="44" fillId="0" borderId="50" xfId="0" applyFont="1" applyFill="1" applyBorder="1" applyAlignment="1">
      <alignment horizontal="center" vertical="center"/>
    </xf>
    <xf numFmtId="9" fontId="19" fillId="27" borderId="50" xfId="53" applyFont="1" applyFill="1" applyBorder="1" applyAlignment="1" applyProtection="1">
      <alignment horizontal="center" vertical="center"/>
    </xf>
    <xf numFmtId="0" fontId="19" fillId="22" borderId="50" xfId="1" applyFont="1" applyFill="1" applyBorder="1" applyAlignment="1" applyProtection="1">
      <alignment horizontal="center" vertical="center" wrapText="1"/>
    </xf>
    <xf numFmtId="1" fontId="19" fillId="22" borderId="50" xfId="3" applyNumberFormat="1" applyFont="1" applyFill="1" applyBorder="1" applyAlignment="1" applyProtection="1">
      <alignment horizontal="center" vertical="center"/>
    </xf>
    <xf numFmtId="0" fontId="6" fillId="22" borderId="50" xfId="0" applyFont="1" applyFill="1" applyBorder="1" applyAlignment="1" applyProtection="1">
      <alignment horizontal="center"/>
      <protection locked="0"/>
    </xf>
    <xf numFmtId="0" fontId="6" fillId="22" borderId="50" xfId="0" applyFont="1" applyFill="1" applyBorder="1" applyAlignment="1" applyProtection="1">
      <alignment horizontal="center"/>
    </xf>
    <xf numFmtId="9" fontId="17" fillId="0" borderId="0" xfId="3" applyNumberFormat="1" applyFont="1" applyFill="1" applyAlignment="1" applyProtection="1">
      <alignment horizontal="center" vertical="center"/>
    </xf>
    <xf numFmtId="0" fontId="12" fillId="0" borderId="0" xfId="0" applyFont="1">
      <alignment vertical="center"/>
    </xf>
    <xf numFmtId="1" fontId="19" fillId="24" borderId="67" xfId="8" applyNumberFormat="1" applyFont="1" applyFill="1" applyBorder="1" applyAlignment="1" applyProtection="1">
      <alignment horizontal="center" vertical="center"/>
    </xf>
    <xf numFmtId="1" fontId="18" fillId="4" borderId="53" xfId="3" applyNumberFormat="1" applyFont="1" applyFill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wrapText="1"/>
    </xf>
    <xf numFmtId="0" fontId="3" fillId="0" borderId="17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8" fillId="3" borderId="25" xfId="0" applyFont="1" applyFill="1" applyBorder="1" applyAlignment="1">
      <alignment horizontal="center"/>
    </xf>
    <xf numFmtId="0" fontId="8" fillId="3" borderId="26" xfId="0" applyFont="1" applyFill="1" applyBorder="1" applyAlignment="1">
      <alignment horizontal="center"/>
    </xf>
    <xf numFmtId="0" fontId="0" fillId="0" borderId="50" xfId="0" applyBorder="1" applyAlignment="1">
      <alignment horizontal="left" vertical="center"/>
    </xf>
    <xf numFmtId="0" fontId="0" fillId="0" borderId="50" xfId="0" applyBorder="1" applyAlignment="1">
      <alignment horizontal="center" vertical="center"/>
    </xf>
    <xf numFmtId="0" fontId="20" fillId="29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6" fillId="0" borderId="50" xfId="0" applyFont="1" applyBorder="1" applyAlignment="1">
      <alignment horizontal="center" vertical="center"/>
    </xf>
    <xf numFmtId="0" fontId="42" fillId="0" borderId="50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0" fillId="26" borderId="0" xfId="0" applyFont="1" applyFill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0" fillId="0" borderId="0" xfId="0" applyFont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20" fillId="34" borderId="0" xfId="0" applyFont="1" applyFill="1" applyBorder="1" applyAlignment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19" fillId="31" borderId="50" xfId="1" applyFont="1" applyFill="1" applyBorder="1" applyAlignment="1" applyProtection="1">
      <alignment horizontal="center" vertical="center"/>
    </xf>
    <xf numFmtId="0" fontId="19" fillId="22" borderId="24" xfId="1" applyFont="1" applyFill="1" applyBorder="1" applyAlignment="1" applyProtection="1">
      <alignment horizontal="center" vertical="center" wrapText="1"/>
    </xf>
    <xf numFmtId="0" fontId="19" fillId="22" borderId="52" xfId="1" applyFont="1" applyFill="1" applyBorder="1" applyAlignment="1" applyProtection="1">
      <alignment horizontal="center" vertical="center" wrapText="1"/>
    </xf>
    <xf numFmtId="0" fontId="19" fillId="22" borderId="27" xfId="1" applyFont="1" applyFill="1" applyBorder="1" applyAlignment="1" applyProtection="1">
      <alignment horizontal="center" vertical="center" wrapText="1"/>
    </xf>
    <xf numFmtId="0" fontId="19" fillId="22" borderId="51" xfId="1" applyFont="1" applyFill="1" applyBorder="1" applyAlignment="1" applyProtection="1">
      <alignment horizontal="center" vertical="center" wrapText="1"/>
    </xf>
    <xf numFmtId="0" fontId="19" fillId="22" borderId="65" xfId="1" applyFont="1" applyFill="1" applyBorder="1" applyAlignment="1" applyProtection="1">
      <alignment horizontal="center" vertical="center" wrapText="1"/>
    </xf>
    <xf numFmtId="0" fontId="19" fillId="22" borderId="57" xfId="1" applyFont="1" applyFill="1" applyBorder="1" applyAlignment="1" applyProtection="1">
      <alignment horizontal="center" vertical="center" wrapText="1"/>
    </xf>
    <xf numFmtId="0" fontId="20" fillId="22" borderId="28" xfId="1" applyFont="1" applyFill="1" applyBorder="1" applyAlignment="1" applyProtection="1">
      <alignment horizontal="center" vertical="center"/>
    </xf>
    <xf numFmtId="0" fontId="20" fillId="22" borderId="29" xfId="1" applyFont="1" applyFill="1" applyBorder="1" applyAlignment="1" applyProtection="1">
      <alignment horizontal="center" vertical="center"/>
    </xf>
    <xf numFmtId="0" fontId="20" fillId="22" borderId="71" xfId="1" applyFont="1" applyFill="1" applyBorder="1" applyAlignment="1" applyProtection="1">
      <alignment horizontal="center" vertical="center"/>
    </xf>
    <xf numFmtId="0" fontId="44" fillId="34" borderId="50" xfId="1" applyFont="1" applyFill="1" applyBorder="1" applyAlignment="1" applyProtection="1">
      <alignment horizontal="center" vertical="center"/>
    </xf>
    <xf numFmtId="0" fontId="19" fillId="33" borderId="50" xfId="1" applyFont="1" applyFill="1" applyBorder="1" applyAlignment="1" applyProtection="1">
      <alignment horizontal="center" vertical="center" wrapText="1"/>
    </xf>
    <xf numFmtId="0" fontId="19" fillId="32" borderId="50" xfId="1" applyFont="1" applyFill="1" applyBorder="1" applyAlignment="1" applyProtection="1">
      <alignment horizontal="center" vertical="center"/>
    </xf>
    <xf numFmtId="0" fontId="20" fillId="22" borderId="46" xfId="1" applyFont="1" applyFill="1" applyBorder="1" applyAlignment="1" applyProtection="1">
      <alignment horizontal="center" vertical="center"/>
    </xf>
    <xf numFmtId="0" fontId="20" fillId="22" borderId="47" xfId="1" applyFont="1" applyFill="1" applyBorder="1" applyAlignment="1" applyProtection="1">
      <alignment horizontal="center" vertical="center"/>
    </xf>
    <xf numFmtId="0" fontId="20" fillId="22" borderId="48" xfId="1" applyFont="1" applyFill="1" applyBorder="1" applyAlignment="1" applyProtection="1">
      <alignment horizontal="center" vertical="center"/>
    </xf>
    <xf numFmtId="0" fontId="20" fillId="7" borderId="53" xfId="1" applyFont="1" applyFill="1" applyBorder="1" applyAlignment="1" applyProtection="1">
      <alignment horizontal="center" vertical="center"/>
    </xf>
    <xf numFmtId="0" fontId="20" fillId="7" borderId="54" xfId="1" applyFont="1" applyFill="1" applyBorder="1" applyAlignment="1" applyProtection="1">
      <alignment horizontal="center" vertical="center"/>
    </xf>
    <xf numFmtId="0" fontId="20" fillId="26" borderId="50" xfId="1" applyFont="1" applyFill="1" applyBorder="1" applyAlignment="1" applyProtection="1">
      <alignment horizontal="center" vertical="center" wrapText="1"/>
    </xf>
    <xf numFmtId="0" fontId="20" fillId="26" borderId="50" xfId="0" applyFont="1" applyFill="1" applyBorder="1" applyAlignment="1"/>
    <xf numFmtId="0" fontId="20" fillId="7" borderId="50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6" fillId="0" borderId="0" xfId="1" applyFont="1" applyFill="1" applyAlignment="1" applyProtection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0" fillId="33" borderId="50" xfId="1" applyFont="1" applyFill="1" applyBorder="1" applyAlignment="1" applyProtection="1">
      <alignment horizontal="center" vertical="center" wrapText="1"/>
    </xf>
    <xf numFmtId="0" fontId="19" fillId="30" borderId="50" xfId="1" applyFont="1" applyFill="1" applyBorder="1" applyAlignment="1" applyProtection="1">
      <alignment horizontal="center" vertical="center"/>
    </xf>
    <xf numFmtId="0" fontId="19" fillId="25" borderId="50" xfId="1" applyFont="1" applyFill="1" applyBorder="1" applyAlignment="1" applyProtection="1">
      <alignment horizontal="center" vertical="center" wrapText="1"/>
    </xf>
    <xf numFmtId="0" fontId="20" fillId="7" borderId="59" xfId="1" applyFont="1" applyFill="1" applyBorder="1" applyAlignment="1" applyProtection="1">
      <alignment horizontal="center" vertical="center" wrapText="1"/>
    </xf>
    <xf numFmtId="0" fontId="20" fillId="7" borderId="58" xfId="1" applyFont="1" applyFill="1" applyBorder="1" applyAlignment="1" applyProtection="1">
      <alignment horizontal="center" vertical="center" wrapText="1"/>
    </xf>
    <xf numFmtId="0" fontId="20" fillId="7" borderId="65" xfId="1" applyFont="1" applyFill="1" applyBorder="1" applyAlignment="1" applyProtection="1">
      <alignment horizontal="center" vertical="center" wrapText="1"/>
    </xf>
    <xf numFmtId="0" fontId="19" fillId="7" borderId="55" xfId="1" applyFont="1" applyFill="1" applyBorder="1" applyAlignment="1" applyProtection="1">
      <alignment horizontal="center" vertical="center"/>
    </xf>
    <xf numFmtId="0" fontId="19" fillId="7" borderId="50" xfId="1" applyFont="1" applyFill="1" applyBorder="1" applyAlignment="1" applyProtection="1">
      <alignment horizontal="center" vertical="center"/>
    </xf>
    <xf numFmtId="0" fontId="19" fillId="24" borderId="53" xfId="1" applyFont="1" applyFill="1" applyBorder="1" applyAlignment="1" applyProtection="1">
      <alignment horizontal="center" vertical="center" wrapText="1"/>
    </xf>
    <xf numFmtId="0" fontId="33" fillId="0" borderId="59" xfId="0" applyFont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0" fontId="33" fillId="0" borderId="67" xfId="0" applyFont="1" applyBorder="1" applyAlignment="1">
      <alignment horizontal="center" vertical="center" wrapText="1"/>
    </xf>
    <xf numFmtId="0" fontId="33" fillId="0" borderId="69" xfId="0" applyFont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2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right" vertical="center" wrapText="1"/>
    </xf>
    <xf numFmtId="0" fontId="2" fillId="0" borderId="60" xfId="9" applyBorder="1" applyAlignment="1">
      <alignment horizontal="center"/>
    </xf>
    <xf numFmtId="0" fontId="2" fillId="0" borderId="57" xfId="9" applyBorder="1" applyAlignment="1">
      <alignment horizontal="center"/>
    </xf>
    <xf numFmtId="0" fontId="55" fillId="18" borderId="52" xfId="9" applyFont="1" applyFill="1" applyBorder="1" applyAlignment="1">
      <alignment horizontal="left"/>
    </xf>
    <xf numFmtId="0" fontId="34" fillId="19" borderId="59" xfId="9" applyFont="1" applyFill="1" applyBorder="1" applyAlignment="1">
      <alignment horizontal="center"/>
    </xf>
    <xf numFmtId="0" fontId="38" fillId="20" borderId="67" xfId="9" applyFont="1" applyFill="1" applyBorder="1" applyAlignment="1">
      <alignment horizontal="center"/>
    </xf>
    <xf numFmtId="0" fontId="38" fillId="20" borderId="68" xfId="9" applyFont="1" applyFill="1" applyBorder="1" applyAlignment="1">
      <alignment horizontal="center"/>
    </xf>
    <xf numFmtId="0" fontId="38" fillId="20" borderId="66" xfId="9" applyFont="1" applyFill="1" applyBorder="1" applyAlignment="1">
      <alignment horizontal="center"/>
    </xf>
    <xf numFmtId="0" fontId="55" fillId="0" borderId="53" xfId="9" applyFont="1" applyBorder="1" applyAlignment="1">
      <alignment horizontal="center"/>
    </xf>
    <xf numFmtId="0" fontId="55" fillId="0" borderId="55" xfId="9" applyFont="1" applyBorder="1" applyAlignment="1">
      <alignment horizontal="center"/>
    </xf>
    <xf numFmtId="0" fontId="55" fillId="18" borderId="50" xfId="9" applyFont="1" applyFill="1" applyBorder="1" applyAlignment="1">
      <alignment horizontal="center"/>
    </xf>
    <xf numFmtId="0" fontId="47" fillId="0" borderId="50" xfId="9" applyFont="1" applyBorder="1" applyAlignment="1">
      <alignment horizontal="center"/>
    </xf>
    <xf numFmtId="0" fontId="47" fillId="18" borderId="50" xfId="9" applyFont="1" applyFill="1" applyBorder="1" applyAlignment="1">
      <alignment horizontal="center"/>
    </xf>
    <xf numFmtId="0" fontId="55" fillId="0" borderId="50" xfId="9" applyFont="1" applyBorder="1" applyAlignment="1">
      <alignment horizontal="center"/>
    </xf>
    <xf numFmtId="0" fontId="1" fillId="0" borderId="50" xfId="9" applyFont="1" applyBorder="1" applyAlignment="1">
      <alignment horizontal="left"/>
    </xf>
    <xf numFmtId="0" fontId="2" fillId="0" borderId="50" xfId="9" applyBorder="1" applyAlignment="1">
      <alignment horizontal="left"/>
    </xf>
    <xf numFmtId="0" fontId="1" fillId="18" borderId="50" xfId="9" applyFont="1" applyFill="1" applyBorder="1" applyAlignment="1">
      <alignment horizontal="center"/>
    </xf>
    <xf numFmtId="0" fontId="2" fillId="18" borderId="50" xfId="9" applyFill="1" applyBorder="1" applyAlignment="1">
      <alignment horizontal="center"/>
    </xf>
    <xf numFmtId="0" fontId="1" fillId="18" borderId="50" xfId="9" applyFont="1" applyFill="1" applyBorder="1" applyAlignment="1">
      <alignment horizontal="left"/>
    </xf>
    <xf numFmtId="0" fontId="2" fillId="18" borderId="50" xfId="9" applyFill="1" applyBorder="1" applyAlignment="1">
      <alignment horizontal="left"/>
    </xf>
    <xf numFmtId="0" fontId="2" fillId="0" borderId="65" xfId="9" applyBorder="1" applyAlignment="1">
      <alignment horizontal="center"/>
    </xf>
    <xf numFmtId="0" fontId="55" fillId="18" borderId="52" xfId="9" applyFont="1" applyFill="1" applyBorder="1" applyAlignment="1">
      <alignment horizontal="center"/>
    </xf>
    <xf numFmtId="0" fontId="1" fillId="0" borderId="50" xfId="9" applyFont="1" applyBorder="1" applyAlignment="1">
      <alignment horizontal="center"/>
    </xf>
    <xf numFmtId="0" fontId="2" fillId="0" borderId="50" xfId="9" applyBorder="1" applyAlignment="1">
      <alignment horizontal="center"/>
    </xf>
    <xf numFmtId="0" fontId="55" fillId="0" borderId="50" xfId="9" applyFont="1" applyBorder="1" applyAlignment="1">
      <alignment horizontal="left"/>
    </xf>
    <xf numFmtId="0" fontId="55" fillId="18" borderId="50" xfId="9" applyFont="1" applyFill="1" applyBorder="1" applyAlignment="1">
      <alignment horizontal="left"/>
    </xf>
    <xf numFmtId="0" fontId="47" fillId="0" borderId="50" xfId="9" applyFont="1" applyBorder="1" applyAlignment="1">
      <alignment horizontal="left"/>
    </xf>
  </cellXfs>
  <cellStyles count="54">
    <cellStyle name="20% - Accent1" xfId="5" xr:uid="{00000000-0005-0000-0000-000000000000}"/>
    <cellStyle name="40% - Accent1" xfId="8" xr:uid="{00000000-0005-0000-0000-000001000000}"/>
    <cellStyle name="40% - Accent5" xfId="7" xr:uid="{00000000-0005-0000-0000-000002000000}"/>
    <cellStyle name="60% - Accent1" xfId="3" xr:uid="{00000000-0005-0000-0000-000003000000}"/>
    <cellStyle name="Accent1" xfId="1" xr:uid="{00000000-0005-0000-0000-000004000000}"/>
    <cellStyle name="Bad" xfId="4" xr:uid="{00000000-0005-0000-0000-000005000000}"/>
    <cellStyle name="Calculation" xfId="2" xr:uid="{00000000-0005-0000-0000-000006000000}"/>
    <cellStyle name="Comma 2" xfId="52" xr:uid="{00000000-0005-0000-0000-000007000000}"/>
    <cellStyle name="Good" xfId="6" xr:uid="{00000000-0005-0000-0000-000008000000}"/>
    <cellStyle name="Normal" xfId="0" builtinId="0"/>
    <cellStyle name="Normal 2" xfId="13" xr:uid="{00000000-0005-0000-0000-00000A000000}"/>
    <cellStyle name="Normal 2 10" xfId="28" xr:uid="{00000000-0005-0000-0000-00000B000000}"/>
    <cellStyle name="Normal 2 11" xfId="30" xr:uid="{00000000-0005-0000-0000-00000C000000}"/>
    <cellStyle name="Normal 2 12" xfId="32" xr:uid="{00000000-0005-0000-0000-00000D000000}"/>
    <cellStyle name="Normal 2 13" xfId="34" xr:uid="{00000000-0005-0000-0000-00000E000000}"/>
    <cellStyle name="Normal 2 14" xfId="36" xr:uid="{00000000-0005-0000-0000-00000F000000}"/>
    <cellStyle name="Normal 2 15" xfId="38" xr:uid="{00000000-0005-0000-0000-000010000000}"/>
    <cellStyle name="Normal 2 16" xfId="40" xr:uid="{00000000-0005-0000-0000-000011000000}"/>
    <cellStyle name="Normal 2 17" xfId="42" xr:uid="{00000000-0005-0000-0000-000012000000}"/>
    <cellStyle name="Normal 2 18" xfId="44" xr:uid="{00000000-0005-0000-0000-000013000000}"/>
    <cellStyle name="Normal 2 19" xfId="46" xr:uid="{00000000-0005-0000-0000-000014000000}"/>
    <cellStyle name="Normal 2 2" xfId="14" xr:uid="{00000000-0005-0000-0000-000015000000}"/>
    <cellStyle name="Normal 2 20" xfId="48" xr:uid="{00000000-0005-0000-0000-000016000000}"/>
    <cellStyle name="Normal 2 21" xfId="50" xr:uid="{00000000-0005-0000-0000-000017000000}"/>
    <cellStyle name="Normal 2 3" xfId="17" xr:uid="{00000000-0005-0000-0000-000018000000}"/>
    <cellStyle name="Normal 2 4" xfId="19" xr:uid="{00000000-0005-0000-0000-000019000000}"/>
    <cellStyle name="Normal 2 5" xfId="20" xr:uid="{00000000-0005-0000-0000-00001A000000}"/>
    <cellStyle name="Normal 2 6" xfId="18" xr:uid="{00000000-0005-0000-0000-00001B000000}"/>
    <cellStyle name="Normal 2 7" xfId="22" xr:uid="{00000000-0005-0000-0000-00001C000000}"/>
    <cellStyle name="Normal 2 8" xfId="24" xr:uid="{00000000-0005-0000-0000-00001D000000}"/>
    <cellStyle name="Normal 2 9" xfId="26" xr:uid="{00000000-0005-0000-0000-00001E000000}"/>
    <cellStyle name="Normal 3" xfId="15" xr:uid="{00000000-0005-0000-0000-00001F000000}"/>
    <cellStyle name="Normal 3 10" xfId="37" xr:uid="{00000000-0005-0000-0000-000020000000}"/>
    <cellStyle name="Normal 3 11" xfId="39" xr:uid="{00000000-0005-0000-0000-000021000000}"/>
    <cellStyle name="Normal 3 12" xfId="41" xr:uid="{00000000-0005-0000-0000-000022000000}"/>
    <cellStyle name="Normal 3 13" xfId="43" xr:uid="{00000000-0005-0000-0000-000023000000}"/>
    <cellStyle name="Normal 3 14" xfId="45" xr:uid="{00000000-0005-0000-0000-000024000000}"/>
    <cellStyle name="Normal 3 15" xfId="47" xr:uid="{00000000-0005-0000-0000-000025000000}"/>
    <cellStyle name="Normal 3 16" xfId="49" xr:uid="{00000000-0005-0000-0000-000026000000}"/>
    <cellStyle name="Normal 3 17" xfId="51" xr:uid="{00000000-0005-0000-0000-000027000000}"/>
    <cellStyle name="Normal 3 2" xfId="21" xr:uid="{00000000-0005-0000-0000-000028000000}"/>
    <cellStyle name="Normal 3 3" xfId="23" xr:uid="{00000000-0005-0000-0000-000029000000}"/>
    <cellStyle name="Normal 3 4" xfId="25" xr:uid="{00000000-0005-0000-0000-00002A000000}"/>
    <cellStyle name="Normal 3 5" xfId="27" xr:uid="{00000000-0005-0000-0000-00002B000000}"/>
    <cellStyle name="Normal 3 6" xfId="29" xr:uid="{00000000-0005-0000-0000-00002C000000}"/>
    <cellStyle name="Normal 3 7" xfId="31" xr:uid="{00000000-0005-0000-0000-00002D000000}"/>
    <cellStyle name="Normal 3 8" xfId="33" xr:uid="{00000000-0005-0000-0000-00002E000000}"/>
    <cellStyle name="Normal 3 9" xfId="35" xr:uid="{00000000-0005-0000-0000-00002F000000}"/>
    <cellStyle name="Normal 4" xfId="11" xr:uid="{00000000-0005-0000-0000-000030000000}"/>
    <cellStyle name="Normal 5" xfId="9" xr:uid="{00000000-0005-0000-0000-000031000000}"/>
    <cellStyle name="Percent" xfId="53" builtinId="5"/>
    <cellStyle name="Percent 2" xfId="12" xr:uid="{00000000-0005-0000-0000-000032000000}"/>
    <cellStyle name="Percent 3" xfId="10" xr:uid="{00000000-0005-0000-0000-000033000000}"/>
    <cellStyle name="Style 1" xfId="16" xr:uid="{00000000-0005-0000-0000-000034000000}"/>
  </cellStyles>
  <dxfs count="194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F33D"/>
      <color rgb="FFFF99CC"/>
      <color rgb="FF3399FF"/>
      <color rgb="FFFFFF99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10</xdr:row>
          <xdr:rowOff>190500</xdr:rowOff>
        </xdr:from>
        <xdr:to>
          <xdr:col>6</xdr:col>
          <xdr:colOff>419100</xdr:colOff>
          <xdr:row>12</xdr:row>
          <xdr:rowOff>123825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V76"/>
  <sheetViews>
    <sheetView topLeftCell="A11" zoomScale="70" zoomScaleNormal="70" workbookViewId="0">
      <selection activeCell="O12" sqref="O12"/>
    </sheetView>
  </sheetViews>
  <sheetFormatPr defaultColWidth="9" defaultRowHeight="15" x14ac:dyDescent="0.25"/>
  <cols>
    <col min="1" max="1" width="4.42578125" style="1" customWidth="1"/>
    <col min="2" max="2" width="6.85546875" style="2" customWidth="1"/>
    <col min="3" max="3" width="7.85546875" style="3" customWidth="1"/>
    <col min="4" max="4" width="26.85546875" style="2" customWidth="1"/>
    <col min="5" max="10" width="6" style="2" customWidth="1"/>
    <col min="11" max="11" width="7.7109375" style="2" customWidth="1"/>
    <col min="12" max="12" width="6" style="1" customWidth="1"/>
    <col min="13" max="13" width="5.140625" style="1" customWidth="1"/>
    <col min="14" max="14" width="6.5703125" style="1" customWidth="1"/>
    <col min="15" max="15" width="8.42578125" style="2" customWidth="1"/>
    <col min="16" max="18" width="6.5703125" style="2" customWidth="1"/>
    <col min="19" max="19" width="6.28515625" style="2" customWidth="1"/>
    <col min="20" max="21" width="6.5703125" style="2" customWidth="1"/>
    <col min="22" max="22" width="5.5703125" style="2" customWidth="1"/>
    <col min="23" max="23" width="5.42578125" style="2" customWidth="1"/>
    <col min="24" max="29" width="5.5703125" style="2" customWidth="1"/>
    <col min="30" max="30" width="6.140625" style="2" customWidth="1"/>
    <col min="31" max="35" width="5.42578125" style="2" customWidth="1"/>
    <col min="36" max="36" width="5.140625" style="2" customWidth="1"/>
    <col min="37" max="37" width="5.28515625" style="2" customWidth="1"/>
    <col min="38" max="38" width="1.28515625" style="2" customWidth="1"/>
    <col min="39" max="39" width="7.7109375" style="3" customWidth="1"/>
    <col min="40" max="256" width="9.140625" style="2" customWidth="1"/>
  </cols>
  <sheetData>
    <row r="1" spans="1:41" ht="30" customHeight="1" x14ac:dyDescent="0.25">
      <c r="A1" s="205" t="s">
        <v>7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205"/>
      <c r="AH1" s="205"/>
      <c r="AI1" s="205"/>
      <c r="AJ1" s="205"/>
    </row>
    <row r="2" spans="1:41" s="4" customFormat="1" ht="29.25" customHeight="1" x14ac:dyDescent="0.25">
      <c r="A2" s="206" t="s">
        <v>96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M2" s="3"/>
    </row>
    <row r="3" spans="1:41" ht="21" customHeight="1" x14ac:dyDescent="0.25">
      <c r="A3" s="196" t="s">
        <v>4</v>
      </c>
      <c r="B3" s="210" t="s">
        <v>3</v>
      </c>
      <c r="C3" s="207" t="s">
        <v>1</v>
      </c>
      <c r="D3" s="213" t="s">
        <v>2</v>
      </c>
      <c r="E3" s="199" t="s">
        <v>91</v>
      </c>
      <c r="F3" s="200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1"/>
    </row>
    <row r="4" spans="1:41" ht="18" customHeight="1" x14ac:dyDescent="0.25">
      <c r="A4" s="197"/>
      <c r="B4" s="211"/>
      <c r="C4" s="208"/>
      <c r="D4" s="214"/>
      <c r="E4" s="202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203"/>
      <c r="AG4" s="203"/>
      <c r="AH4" s="203"/>
      <c r="AI4" s="203"/>
      <c r="AJ4" s="203"/>
      <c r="AK4" s="203"/>
      <c r="AL4" s="203"/>
      <c r="AM4" s="204"/>
    </row>
    <row r="5" spans="1:41" ht="16.5" customHeight="1" x14ac:dyDescent="0.25">
      <c r="A5" s="197"/>
      <c r="B5" s="211"/>
      <c r="C5" s="208"/>
      <c r="D5" s="215"/>
      <c r="E5" s="194" t="s">
        <v>60</v>
      </c>
      <c r="F5" s="195"/>
      <c r="G5" s="194" t="s">
        <v>61</v>
      </c>
      <c r="H5" s="195"/>
      <c r="I5" s="194" t="s">
        <v>62</v>
      </c>
      <c r="J5" s="195"/>
      <c r="K5" s="192" t="s">
        <v>63</v>
      </c>
      <c r="L5" s="193"/>
      <c r="M5" s="192" t="s">
        <v>64</v>
      </c>
      <c r="N5" s="193"/>
      <c r="O5" s="194" t="s">
        <v>65</v>
      </c>
      <c r="P5" s="195"/>
      <c r="Q5" s="194" t="s">
        <v>66</v>
      </c>
      <c r="R5" s="195"/>
      <c r="S5" s="194" t="s">
        <v>67</v>
      </c>
      <c r="T5" s="195"/>
      <c r="U5" s="192" t="s">
        <v>68</v>
      </c>
      <c r="V5" s="193"/>
      <c r="W5" s="192" t="s">
        <v>69</v>
      </c>
      <c r="X5" s="193"/>
      <c r="Y5" s="192" t="s">
        <v>70</v>
      </c>
      <c r="Z5" s="193"/>
      <c r="AA5" s="194" t="s">
        <v>71</v>
      </c>
      <c r="AB5" s="195"/>
      <c r="AC5" s="194" t="s">
        <v>72</v>
      </c>
      <c r="AD5" s="195"/>
      <c r="AE5" s="194" t="s">
        <v>73</v>
      </c>
      <c r="AF5" s="195"/>
      <c r="AG5" s="192" t="s">
        <v>73</v>
      </c>
      <c r="AH5" s="193"/>
      <c r="AI5" s="192" t="s">
        <v>74</v>
      </c>
      <c r="AJ5" s="193"/>
      <c r="AK5" s="192" t="s">
        <v>75</v>
      </c>
      <c r="AL5" s="193"/>
      <c r="AM5" s="5" t="s">
        <v>0</v>
      </c>
      <c r="AN5" s="6"/>
      <c r="AO5" s="7"/>
    </row>
    <row r="6" spans="1:41" ht="18" customHeight="1" x14ac:dyDescent="0.25">
      <c r="A6" s="198"/>
      <c r="B6" s="212"/>
      <c r="C6" s="209"/>
      <c r="D6" s="216"/>
      <c r="E6" s="8" t="s">
        <v>76</v>
      </c>
      <c r="F6" s="9" t="s">
        <v>77</v>
      </c>
      <c r="G6" s="9" t="s">
        <v>78</v>
      </c>
      <c r="H6" s="9" t="s">
        <v>79</v>
      </c>
      <c r="I6" s="9" t="s">
        <v>80</v>
      </c>
      <c r="J6" s="9" t="s">
        <v>81</v>
      </c>
      <c r="K6" s="9" t="s">
        <v>82</v>
      </c>
      <c r="L6" s="9" t="s">
        <v>83</v>
      </c>
      <c r="M6" s="217" t="s">
        <v>98</v>
      </c>
      <c r="N6" s="218"/>
      <c r="O6" s="9" t="s">
        <v>84</v>
      </c>
      <c r="P6" s="9" t="s">
        <v>85</v>
      </c>
      <c r="Q6" s="9" t="s">
        <v>86</v>
      </c>
      <c r="R6" s="9" t="s">
        <v>87</v>
      </c>
      <c r="S6" s="9" t="s">
        <v>88</v>
      </c>
      <c r="T6" s="9" t="s">
        <v>89</v>
      </c>
      <c r="U6" s="10" t="s">
        <v>90</v>
      </c>
      <c r="V6" s="11" t="s">
        <v>95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3"/>
      <c r="AM6" s="14"/>
    </row>
    <row r="7" spans="1:41" x14ac:dyDescent="0.25">
      <c r="A7" s="15">
        <v>1</v>
      </c>
      <c r="B7" s="16" t="s">
        <v>5</v>
      </c>
      <c r="C7" s="17">
        <v>11020</v>
      </c>
      <c r="D7" s="18" t="s">
        <v>8</v>
      </c>
      <c r="E7" s="19"/>
      <c r="F7" s="19"/>
      <c r="G7" s="20"/>
      <c r="H7" s="21"/>
      <c r="I7" s="21"/>
      <c r="J7" s="21"/>
      <c r="K7" s="21"/>
      <c r="L7" s="21"/>
      <c r="M7" s="22"/>
      <c r="N7" s="22"/>
      <c r="O7" s="21"/>
      <c r="P7" s="21"/>
      <c r="Q7" s="21"/>
      <c r="R7" s="21"/>
      <c r="S7" s="21"/>
      <c r="T7" s="21"/>
      <c r="U7" s="21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4"/>
      <c r="AM7" s="25">
        <f>SUM(E7:AL7)</f>
        <v>0</v>
      </c>
    </row>
    <row r="8" spans="1:41" x14ac:dyDescent="0.25">
      <c r="A8" s="15">
        <v>2</v>
      </c>
      <c r="B8" s="26" t="s">
        <v>5</v>
      </c>
      <c r="C8" s="27">
        <v>11137</v>
      </c>
      <c r="D8" s="28" t="s">
        <v>9</v>
      </c>
      <c r="E8" s="29"/>
      <c r="F8" s="29"/>
      <c r="G8" s="30"/>
      <c r="H8" s="30"/>
      <c r="I8" s="30">
        <v>1</v>
      </c>
      <c r="J8" s="30">
        <v>1</v>
      </c>
      <c r="K8" s="30">
        <v>1</v>
      </c>
      <c r="L8" s="30"/>
      <c r="M8" s="31"/>
      <c r="N8" s="31"/>
      <c r="O8" s="30" t="s">
        <v>94</v>
      </c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2"/>
      <c r="AM8" s="25">
        <f t="shared" ref="AM8:AM60" si="0">SUM(E8:AL8)</f>
        <v>3</v>
      </c>
    </row>
    <row r="9" spans="1:41" x14ac:dyDescent="0.25">
      <c r="A9" s="15">
        <v>3</v>
      </c>
      <c r="B9" s="26" t="s">
        <v>5</v>
      </c>
      <c r="C9" s="27">
        <v>11140</v>
      </c>
      <c r="D9" s="28" t="s">
        <v>10</v>
      </c>
      <c r="E9" s="33"/>
      <c r="F9" s="34">
        <v>1</v>
      </c>
      <c r="G9" s="30">
        <v>1</v>
      </c>
      <c r="H9" s="30">
        <v>1</v>
      </c>
      <c r="I9" s="30"/>
      <c r="J9" s="30">
        <v>1</v>
      </c>
      <c r="K9" s="30"/>
      <c r="L9" s="30"/>
      <c r="M9" s="31"/>
      <c r="N9" s="31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2"/>
      <c r="AM9" s="25">
        <f t="shared" si="0"/>
        <v>4</v>
      </c>
    </row>
    <row r="10" spans="1:41" x14ac:dyDescent="0.25">
      <c r="A10" s="15">
        <v>4</v>
      </c>
      <c r="B10" s="26" t="s">
        <v>5</v>
      </c>
      <c r="C10" s="27">
        <v>11173</v>
      </c>
      <c r="D10" s="28" t="s">
        <v>11</v>
      </c>
      <c r="E10" s="29"/>
      <c r="F10" s="29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/>
      <c r="M10" s="31"/>
      <c r="N10" s="31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2"/>
      <c r="AM10" s="25">
        <f t="shared" si="0"/>
        <v>6</v>
      </c>
    </row>
    <row r="11" spans="1:41" x14ac:dyDescent="0.25">
      <c r="A11" s="15">
        <v>5</v>
      </c>
      <c r="B11" s="26" t="s">
        <v>5</v>
      </c>
      <c r="C11" s="35">
        <v>11232</v>
      </c>
      <c r="D11" s="28" t="s">
        <v>12</v>
      </c>
      <c r="E11" s="29"/>
      <c r="F11" s="29">
        <v>1</v>
      </c>
      <c r="G11" s="30">
        <v>1</v>
      </c>
      <c r="H11" s="30">
        <v>1</v>
      </c>
      <c r="I11" s="30"/>
      <c r="J11" s="30">
        <v>1</v>
      </c>
      <c r="K11" s="30">
        <v>1</v>
      </c>
      <c r="L11" s="30"/>
      <c r="M11" s="31"/>
      <c r="N11" s="31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2"/>
      <c r="AM11" s="25">
        <f t="shared" si="0"/>
        <v>5</v>
      </c>
    </row>
    <row r="12" spans="1:41" x14ac:dyDescent="0.25">
      <c r="A12" s="15">
        <v>6</v>
      </c>
      <c r="B12" s="26" t="s">
        <v>5</v>
      </c>
      <c r="C12" s="35">
        <v>11364</v>
      </c>
      <c r="D12" s="28" t="s">
        <v>13</v>
      </c>
      <c r="E12" s="29"/>
      <c r="F12" s="29">
        <v>1</v>
      </c>
      <c r="G12" s="30"/>
      <c r="H12" s="30">
        <v>1</v>
      </c>
      <c r="I12" s="30">
        <v>1</v>
      </c>
      <c r="J12" s="30">
        <v>1</v>
      </c>
      <c r="K12" s="30"/>
      <c r="L12" s="30"/>
      <c r="M12" s="31"/>
      <c r="N12" s="31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2"/>
      <c r="AM12" s="25">
        <f t="shared" si="0"/>
        <v>4</v>
      </c>
    </row>
    <row r="13" spans="1:41" x14ac:dyDescent="0.25">
      <c r="A13" s="15">
        <v>7</v>
      </c>
      <c r="B13" s="26" t="s">
        <v>5</v>
      </c>
      <c r="C13" s="35">
        <v>11365</v>
      </c>
      <c r="D13" s="28" t="s">
        <v>14</v>
      </c>
      <c r="E13" s="29"/>
      <c r="F13" s="29">
        <v>1</v>
      </c>
      <c r="G13" s="30"/>
      <c r="H13" s="30">
        <v>1</v>
      </c>
      <c r="I13" s="30">
        <v>1</v>
      </c>
      <c r="J13" s="30">
        <v>1</v>
      </c>
      <c r="K13" s="30"/>
      <c r="L13" s="30"/>
      <c r="M13" s="31"/>
      <c r="N13" s="31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2"/>
      <c r="AM13" s="25">
        <f t="shared" si="0"/>
        <v>4</v>
      </c>
    </row>
    <row r="14" spans="1:41" x14ac:dyDescent="0.25">
      <c r="A14" s="15">
        <v>8</v>
      </c>
      <c r="B14" s="26" t="s">
        <v>5</v>
      </c>
      <c r="C14" s="35">
        <v>11382</v>
      </c>
      <c r="D14" s="28" t="s">
        <v>15</v>
      </c>
      <c r="E14" s="29"/>
      <c r="F14" s="29">
        <v>1</v>
      </c>
      <c r="G14" s="30">
        <v>1</v>
      </c>
      <c r="H14" s="30">
        <v>1</v>
      </c>
      <c r="I14" s="30"/>
      <c r="J14" s="30"/>
      <c r="K14" s="30"/>
      <c r="L14" s="30"/>
      <c r="M14" s="31"/>
      <c r="N14" s="31"/>
      <c r="O14" s="30" t="s">
        <v>94</v>
      </c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2"/>
      <c r="AM14" s="25">
        <f t="shared" si="0"/>
        <v>3</v>
      </c>
    </row>
    <row r="15" spans="1:41" ht="14.25" customHeight="1" x14ac:dyDescent="0.25">
      <c r="A15" s="15">
        <v>9</v>
      </c>
      <c r="B15" s="26" t="s">
        <v>5</v>
      </c>
      <c r="C15" s="35">
        <v>11536</v>
      </c>
      <c r="D15" s="28" t="s">
        <v>16</v>
      </c>
      <c r="E15" s="29"/>
      <c r="F15" s="29">
        <v>1</v>
      </c>
      <c r="G15" s="30"/>
      <c r="H15" s="30">
        <v>1</v>
      </c>
      <c r="I15" s="30">
        <v>1</v>
      </c>
      <c r="J15" s="30">
        <v>1</v>
      </c>
      <c r="K15" s="30">
        <v>1</v>
      </c>
      <c r="L15" s="30"/>
      <c r="M15" s="31"/>
      <c r="N15" s="31"/>
      <c r="O15" s="30" t="s">
        <v>94</v>
      </c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2"/>
      <c r="AM15" s="25">
        <f t="shared" si="0"/>
        <v>5</v>
      </c>
    </row>
    <row r="16" spans="1:41" ht="14.25" customHeight="1" x14ac:dyDescent="0.25">
      <c r="A16" s="15">
        <v>10</v>
      </c>
      <c r="B16" s="36" t="s">
        <v>5</v>
      </c>
      <c r="C16" s="37">
        <v>11545</v>
      </c>
      <c r="D16" s="38" t="s">
        <v>97</v>
      </c>
      <c r="E16" s="29"/>
      <c r="F16" s="29"/>
      <c r="G16" s="30"/>
      <c r="H16" s="30"/>
      <c r="I16" s="30"/>
      <c r="J16" s="30"/>
      <c r="K16" s="30">
        <v>1</v>
      </c>
      <c r="L16" s="30"/>
      <c r="M16" s="31"/>
      <c r="N16" s="31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2"/>
      <c r="AM16" s="25"/>
    </row>
    <row r="17" spans="1:39" x14ac:dyDescent="0.25">
      <c r="A17" s="15">
        <v>11</v>
      </c>
      <c r="B17" s="26" t="s">
        <v>5</v>
      </c>
      <c r="C17" s="35">
        <v>11599</v>
      </c>
      <c r="D17" s="28" t="s">
        <v>17</v>
      </c>
      <c r="E17" s="29"/>
      <c r="F17" s="29"/>
      <c r="G17" s="30"/>
      <c r="H17" s="30"/>
      <c r="I17" s="30">
        <v>1</v>
      </c>
      <c r="J17" s="30"/>
      <c r="K17" s="30">
        <v>1</v>
      </c>
      <c r="L17" s="30"/>
      <c r="M17" s="31"/>
      <c r="N17" s="31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2"/>
      <c r="AM17" s="25">
        <f t="shared" si="0"/>
        <v>2</v>
      </c>
    </row>
    <row r="18" spans="1:39" x14ac:dyDescent="0.25">
      <c r="A18" s="15">
        <v>12</v>
      </c>
      <c r="B18" s="26" t="s">
        <v>5</v>
      </c>
      <c r="C18" s="35">
        <v>13015</v>
      </c>
      <c r="D18" s="28" t="s">
        <v>18</v>
      </c>
      <c r="E18" s="29"/>
      <c r="F18" s="29">
        <v>1</v>
      </c>
      <c r="G18" s="30"/>
      <c r="H18" s="30">
        <v>1</v>
      </c>
      <c r="I18" s="30">
        <v>1</v>
      </c>
      <c r="J18" s="30"/>
      <c r="K18" s="30"/>
      <c r="L18" s="30"/>
      <c r="M18" s="31"/>
      <c r="N18" s="31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2"/>
      <c r="AM18" s="25">
        <f t="shared" si="0"/>
        <v>3</v>
      </c>
    </row>
    <row r="19" spans="1:39" x14ac:dyDescent="0.25">
      <c r="A19" s="15">
        <v>13</v>
      </c>
      <c r="B19" s="26" t="s">
        <v>5</v>
      </c>
      <c r="C19" s="35">
        <v>13070</v>
      </c>
      <c r="D19" s="28" t="s">
        <v>19</v>
      </c>
      <c r="E19" s="29"/>
      <c r="F19" s="29"/>
      <c r="G19" s="30"/>
      <c r="H19" s="30"/>
      <c r="I19" s="30"/>
      <c r="J19" s="30"/>
      <c r="K19" s="30"/>
      <c r="L19" s="30"/>
      <c r="M19" s="31"/>
      <c r="N19" s="31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2"/>
      <c r="AM19" s="25">
        <f t="shared" si="0"/>
        <v>0</v>
      </c>
    </row>
    <row r="20" spans="1:39" x14ac:dyDescent="0.25">
      <c r="A20" s="15">
        <v>14</v>
      </c>
      <c r="B20" s="26" t="s">
        <v>5</v>
      </c>
      <c r="C20" s="35">
        <v>13253</v>
      </c>
      <c r="D20" s="28" t="s">
        <v>20</v>
      </c>
      <c r="E20" s="29"/>
      <c r="F20" s="29">
        <v>1</v>
      </c>
      <c r="G20" s="30"/>
      <c r="H20" s="30">
        <v>1</v>
      </c>
      <c r="I20" s="30">
        <v>1</v>
      </c>
      <c r="J20" s="30"/>
      <c r="K20" s="30"/>
      <c r="L20" s="30"/>
      <c r="M20" s="31"/>
      <c r="N20" s="31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2"/>
      <c r="AM20" s="25">
        <f t="shared" si="0"/>
        <v>3</v>
      </c>
    </row>
    <row r="21" spans="1:39" x14ac:dyDescent="0.25">
      <c r="A21" s="15">
        <v>15</v>
      </c>
      <c r="B21" s="26" t="s">
        <v>5</v>
      </c>
      <c r="C21" s="35">
        <v>13254</v>
      </c>
      <c r="D21" s="28" t="s">
        <v>21</v>
      </c>
      <c r="E21" s="29"/>
      <c r="F21" s="29">
        <v>1</v>
      </c>
      <c r="G21" s="30">
        <v>1</v>
      </c>
      <c r="H21" s="30">
        <v>1</v>
      </c>
      <c r="I21" s="30"/>
      <c r="J21" s="30">
        <v>1</v>
      </c>
      <c r="K21" s="30"/>
      <c r="L21" s="30"/>
      <c r="M21" s="31"/>
      <c r="N21" s="31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2"/>
      <c r="AM21" s="25">
        <f t="shared" si="0"/>
        <v>4</v>
      </c>
    </row>
    <row r="22" spans="1:39" x14ac:dyDescent="0.25">
      <c r="A22" s="15">
        <v>16</v>
      </c>
      <c r="B22" s="26" t="s">
        <v>5</v>
      </c>
      <c r="C22" s="35">
        <v>13262</v>
      </c>
      <c r="D22" s="28" t="s">
        <v>22</v>
      </c>
      <c r="E22" s="29"/>
      <c r="F22" s="29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L22" s="30"/>
      <c r="M22" s="31"/>
      <c r="N22" s="31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2"/>
      <c r="AM22" s="25">
        <f t="shared" si="0"/>
        <v>6</v>
      </c>
    </row>
    <row r="23" spans="1:39" x14ac:dyDescent="0.25">
      <c r="A23" s="15">
        <v>17</v>
      </c>
      <c r="B23" s="26" t="s">
        <v>5</v>
      </c>
      <c r="C23" s="35">
        <v>13345</v>
      </c>
      <c r="D23" s="28" t="s">
        <v>23</v>
      </c>
      <c r="E23" s="29"/>
      <c r="F23" s="29"/>
      <c r="G23" s="30"/>
      <c r="H23" s="30"/>
      <c r="I23" s="30">
        <v>1</v>
      </c>
      <c r="J23" s="30"/>
      <c r="K23" s="30"/>
      <c r="L23" s="30"/>
      <c r="M23" s="31"/>
      <c r="N23" s="31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2"/>
      <c r="AM23" s="25">
        <f t="shared" si="0"/>
        <v>1</v>
      </c>
    </row>
    <row r="24" spans="1:39" x14ac:dyDescent="0.25">
      <c r="A24" s="15">
        <v>18</v>
      </c>
      <c r="B24" s="26" t="s">
        <v>5</v>
      </c>
      <c r="C24" s="35">
        <v>13367</v>
      </c>
      <c r="D24" s="28" t="s">
        <v>24</v>
      </c>
      <c r="E24" s="29"/>
      <c r="F24" s="29">
        <v>1</v>
      </c>
      <c r="G24" s="30"/>
      <c r="H24" s="30">
        <v>1</v>
      </c>
      <c r="I24" s="30">
        <v>1</v>
      </c>
      <c r="J24" s="30"/>
      <c r="K24" s="30"/>
      <c r="L24" s="30"/>
      <c r="M24" s="31"/>
      <c r="N24" s="31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2"/>
      <c r="AM24" s="25">
        <f t="shared" si="0"/>
        <v>3</v>
      </c>
    </row>
    <row r="25" spans="1:39" x14ac:dyDescent="0.25">
      <c r="A25" s="15">
        <v>19</v>
      </c>
      <c r="B25" s="26" t="s">
        <v>5</v>
      </c>
      <c r="C25" s="35">
        <v>13438</v>
      </c>
      <c r="D25" s="28" t="s">
        <v>25</v>
      </c>
      <c r="E25" s="29"/>
      <c r="F25" s="29">
        <v>1</v>
      </c>
      <c r="G25" s="30"/>
      <c r="H25" s="30"/>
      <c r="I25" s="30">
        <v>1</v>
      </c>
      <c r="J25" s="30"/>
      <c r="K25" s="30">
        <v>1</v>
      </c>
      <c r="L25" s="30"/>
      <c r="M25" s="31"/>
      <c r="N25" s="31"/>
      <c r="O25" s="30" t="s">
        <v>94</v>
      </c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2"/>
      <c r="AM25" s="25">
        <f t="shared" si="0"/>
        <v>3</v>
      </c>
    </row>
    <row r="26" spans="1:39" x14ac:dyDescent="0.25">
      <c r="A26" s="15">
        <v>20</v>
      </c>
      <c r="B26" s="26" t="s">
        <v>5</v>
      </c>
      <c r="C26" s="35">
        <v>13469</v>
      </c>
      <c r="D26" s="28" t="s">
        <v>26</v>
      </c>
      <c r="E26" s="29"/>
      <c r="F26" s="29">
        <v>1</v>
      </c>
      <c r="G26" s="30">
        <v>1</v>
      </c>
      <c r="H26" s="30">
        <v>1</v>
      </c>
      <c r="I26" s="30">
        <v>1</v>
      </c>
      <c r="J26" s="30">
        <v>1</v>
      </c>
      <c r="K26" s="30">
        <v>1</v>
      </c>
      <c r="L26" s="30"/>
      <c r="M26" s="31"/>
      <c r="N26" s="31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2"/>
      <c r="AM26" s="25">
        <f t="shared" si="0"/>
        <v>6</v>
      </c>
    </row>
    <row r="27" spans="1:39" x14ac:dyDescent="0.25">
      <c r="A27" s="15">
        <v>21</v>
      </c>
      <c r="B27" s="26" t="s">
        <v>5</v>
      </c>
      <c r="C27" s="35">
        <v>13498</v>
      </c>
      <c r="D27" s="28" t="s">
        <v>27</v>
      </c>
      <c r="E27" s="29"/>
      <c r="F27" s="29"/>
      <c r="G27" s="30"/>
      <c r="H27" s="30">
        <v>1</v>
      </c>
      <c r="I27" s="30"/>
      <c r="J27" s="30"/>
      <c r="K27" s="30"/>
      <c r="L27" s="30"/>
      <c r="M27" s="31"/>
      <c r="N27" s="31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2"/>
      <c r="AM27" s="25">
        <f t="shared" si="0"/>
        <v>1</v>
      </c>
    </row>
    <row r="28" spans="1:39" x14ac:dyDescent="0.25">
      <c r="A28" s="15">
        <v>22</v>
      </c>
      <c r="B28" s="26" t="s">
        <v>5</v>
      </c>
      <c r="C28" s="35">
        <v>13500</v>
      </c>
      <c r="D28" s="28" t="s">
        <v>28</v>
      </c>
      <c r="E28" s="29"/>
      <c r="F28" s="29">
        <v>1</v>
      </c>
      <c r="G28" s="30"/>
      <c r="H28" s="30">
        <v>1</v>
      </c>
      <c r="I28" s="30">
        <v>1</v>
      </c>
      <c r="J28" s="30"/>
      <c r="K28" s="30"/>
      <c r="L28" s="39"/>
      <c r="M28" s="40"/>
      <c r="N28" s="4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41"/>
      <c r="AM28" s="25">
        <f t="shared" si="0"/>
        <v>3</v>
      </c>
    </row>
    <row r="29" spans="1:39" x14ac:dyDescent="0.25">
      <c r="A29" s="15">
        <v>23</v>
      </c>
      <c r="B29" s="26" t="s">
        <v>5</v>
      </c>
      <c r="C29" s="35">
        <v>13570</v>
      </c>
      <c r="D29" s="28" t="s">
        <v>29</v>
      </c>
      <c r="E29" s="29"/>
      <c r="F29" s="29"/>
      <c r="G29" s="30"/>
      <c r="H29" s="30">
        <v>1</v>
      </c>
      <c r="I29" s="30">
        <v>1</v>
      </c>
      <c r="J29" s="30">
        <v>1</v>
      </c>
      <c r="K29" s="30">
        <v>1</v>
      </c>
      <c r="L29" s="39"/>
      <c r="M29" s="40"/>
      <c r="N29" s="4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41"/>
      <c r="AM29" s="25">
        <f t="shared" si="0"/>
        <v>4</v>
      </c>
    </row>
    <row r="30" spans="1:39" x14ac:dyDescent="0.25">
      <c r="A30" s="15">
        <v>24</v>
      </c>
      <c r="B30" s="26" t="s">
        <v>5</v>
      </c>
      <c r="C30" s="35">
        <v>13710</v>
      </c>
      <c r="D30" s="28" t="s">
        <v>30</v>
      </c>
      <c r="E30" s="29"/>
      <c r="F30" s="29">
        <v>1</v>
      </c>
      <c r="G30" s="30"/>
      <c r="H30" s="30">
        <v>1</v>
      </c>
      <c r="I30" s="30">
        <v>1</v>
      </c>
      <c r="J30" s="30"/>
      <c r="K30" s="30"/>
      <c r="L30" s="39"/>
      <c r="M30" s="40"/>
      <c r="N30" s="40"/>
      <c r="O30" s="30" t="s">
        <v>94</v>
      </c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41"/>
      <c r="AM30" s="25">
        <f t="shared" si="0"/>
        <v>3</v>
      </c>
    </row>
    <row r="31" spans="1:39" x14ac:dyDescent="0.25">
      <c r="A31" s="15">
        <v>25</v>
      </c>
      <c r="B31" s="26" t="s">
        <v>5</v>
      </c>
      <c r="C31" s="35">
        <v>13826</v>
      </c>
      <c r="D31" s="28" t="s">
        <v>31</v>
      </c>
      <c r="E31" s="29"/>
      <c r="F31" s="29"/>
      <c r="G31" s="30"/>
      <c r="H31" s="30"/>
      <c r="I31" s="30"/>
      <c r="J31" s="30" t="s">
        <v>94</v>
      </c>
      <c r="K31" s="30"/>
      <c r="L31" s="39"/>
      <c r="M31" s="40"/>
      <c r="N31" s="4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41"/>
      <c r="AM31" s="25">
        <f t="shared" si="0"/>
        <v>0</v>
      </c>
    </row>
    <row r="32" spans="1:39" x14ac:dyDescent="0.25">
      <c r="A32" s="15">
        <v>26</v>
      </c>
      <c r="B32" s="26" t="s">
        <v>5</v>
      </c>
      <c r="C32" s="35">
        <v>15030</v>
      </c>
      <c r="D32" s="28" t="s">
        <v>32</v>
      </c>
      <c r="E32" s="29"/>
      <c r="F32" s="29"/>
      <c r="G32" s="30"/>
      <c r="H32" s="30"/>
      <c r="I32" s="30"/>
      <c r="J32" s="30"/>
      <c r="K32" s="30"/>
      <c r="L32" s="39"/>
      <c r="M32" s="40"/>
      <c r="N32" s="4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41"/>
      <c r="AM32" s="25">
        <f t="shared" si="0"/>
        <v>0</v>
      </c>
    </row>
    <row r="33" spans="1:39" x14ac:dyDescent="0.25">
      <c r="A33" s="15">
        <v>27</v>
      </c>
      <c r="B33" s="26" t="s">
        <v>5</v>
      </c>
      <c r="C33" s="35">
        <v>15034</v>
      </c>
      <c r="D33" s="28" t="s">
        <v>33</v>
      </c>
      <c r="E33" s="29"/>
      <c r="F33" s="29"/>
      <c r="G33" s="30">
        <v>1</v>
      </c>
      <c r="H33" s="30">
        <v>1</v>
      </c>
      <c r="I33" s="30">
        <v>1</v>
      </c>
      <c r="J33" s="30">
        <v>1</v>
      </c>
      <c r="K33" s="30"/>
      <c r="L33" s="39"/>
      <c r="M33" s="40"/>
      <c r="N33" s="40"/>
      <c r="O33" s="30" t="s">
        <v>94</v>
      </c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41"/>
      <c r="AM33" s="25">
        <f t="shared" si="0"/>
        <v>4</v>
      </c>
    </row>
    <row r="34" spans="1:39" x14ac:dyDescent="0.25">
      <c r="A34" s="15">
        <v>28</v>
      </c>
      <c r="B34" s="26" t="s">
        <v>5</v>
      </c>
      <c r="C34" s="35">
        <v>15035</v>
      </c>
      <c r="D34" s="28" t="s">
        <v>34</v>
      </c>
      <c r="E34" s="29"/>
      <c r="F34" s="29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9"/>
      <c r="M34" s="40"/>
      <c r="N34" s="4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41"/>
      <c r="AM34" s="25">
        <f t="shared" si="0"/>
        <v>6</v>
      </c>
    </row>
    <row r="35" spans="1:39" x14ac:dyDescent="0.25">
      <c r="A35" s="15">
        <v>29</v>
      </c>
      <c r="B35" s="26" t="s">
        <v>5</v>
      </c>
      <c r="C35" s="35">
        <v>15071</v>
      </c>
      <c r="D35" s="28" t="s">
        <v>35</v>
      </c>
      <c r="E35" s="29"/>
      <c r="F35" s="29"/>
      <c r="G35" s="30"/>
      <c r="H35" s="30">
        <v>1</v>
      </c>
      <c r="I35" s="30">
        <v>1</v>
      </c>
      <c r="J35" s="30">
        <v>1</v>
      </c>
      <c r="K35" s="30">
        <v>1</v>
      </c>
      <c r="L35" s="39"/>
      <c r="M35" s="40"/>
      <c r="N35" s="40"/>
      <c r="O35" s="30" t="s">
        <v>94</v>
      </c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41"/>
      <c r="AM35" s="25">
        <f t="shared" si="0"/>
        <v>4</v>
      </c>
    </row>
    <row r="36" spans="1:39" x14ac:dyDescent="0.25">
      <c r="A36" s="15">
        <v>30</v>
      </c>
      <c r="B36" s="26" t="s">
        <v>5</v>
      </c>
      <c r="C36" s="35">
        <v>15081</v>
      </c>
      <c r="D36" s="28" t="s">
        <v>36</v>
      </c>
      <c r="E36" s="29"/>
      <c r="F36" s="29"/>
      <c r="G36" s="30">
        <v>1</v>
      </c>
      <c r="H36" s="30">
        <v>1</v>
      </c>
      <c r="I36" s="30">
        <v>1</v>
      </c>
      <c r="J36" s="30">
        <v>1</v>
      </c>
      <c r="K36" s="30"/>
      <c r="L36" s="39"/>
      <c r="M36" s="40"/>
      <c r="N36" s="4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41"/>
      <c r="AM36" s="25">
        <f t="shared" si="0"/>
        <v>4</v>
      </c>
    </row>
    <row r="37" spans="1:39" x14ac:dyDescent="0.25">
      <c r="A37" s="15">
        <v>31</v>
      </c>
      <c r="B37" s="26" t="s">
        <v>5</v>
      </c>
      <c r="C37" s="35">
        <v>15109</v>
      </c>
      <c r="D37" s="28" t="s">
        <v>37</v>
      </c>
      <c r="E37" s="29"/>
      <c r="F37" s="29">
        <v>1</v>
      </c>
      <c r="G37" s="30">
        <v>1</v>
      </c>
      <c r="H37" s="30"/>
      <c r="I37" s="30">
        <v>1</v>
      </c>
      <c r="J37" s="30"/>
      <c r="K37" s="30">
        <v>1</v>
      </c>
      <c r="L37" s="39"/>
      <c r="M37" s="40"/>
      <c r="N37" s="4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41"/>
      <c r="AM37" s="25">
        <f t="shared" si="0"/>
        <v>4</v>
      </c>
    </row>
    <row r="38" spans="1:39" x14ac:dyDescent="0.25">
      <c r="A38" s="15">
        <v>32</v>
      </c>
      <c r="B38" s="26" t="s">
        <v>5</v>
      </c>
      <c r="C38" s="35">
        <v>15177</v>
      </c>
      <c r="D38" s="28" t="s">
        <v>93</v>
      </c>
      <c r="E38" s="29"/>
      <c r="F38" s="29">
        <v>1</v>
      </c>
      <c r="G38" s="30"/>
      <c r="H38" s="30">
        <v>1</v>
      </c>
      <c r="I38" s="30">
        <v>1</v>
      </c>
      <c r="J38" s="30">
        <v>1</v>
      </c>
      <c r="K38" s="30">
        <v>1</v>
      </c>
      <c r="L38" s="39"/>
      <c r="M38" s="40"/>
      <c r="N38" s="4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41"/>
      <c r="AM38" s="25">
        <f t="shared" si="0"/>
        <v>5</v>
      </c>
    </row>
    <row r="39" spans="1:39" x14ac:dyDescent="0.25">
      <c r="A39" s="15">
        <v>33</v>
      </c>
      <c r="B39" s="26" t="s">
        <v>5</v>
      </c>
      <c r="C39" s="35">
        <v>15249</v>
      </c>
      <c r="D39" s="28" t="s">
        <v>38</v>
      </c>
      <c r="E39" s="29"/>
      <c r="F39" s="29">
        <v>1</v>
      </c>
      <c r="G39" s="30">
        <v>1</v>
      </c>
      <c r="H39" s="30">
        <v>1</v>
      </c>
      <c r="I39" s="30">
        <v>1</v>
      </c>
      <c r="J39" s="30">
        <v>1</v>
      </c>
      <c r="K39" s="30">
        <v>1</v>
      </c>
      <c r="L39" s="39"/>
      <c r="M39" s="40"/>
      <c r="N39" s="4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41"/>
      <c r="AM39" s="25">
        <f t="shared" si="0"/>
        <v>6</v>
      </c>
    </row>
    <row r="40" spans="1:39" x14ac:dyDescent="0.25">
      <c r="A40" s="15">
        <v>34</v>
      </c>
      <c r="B40" s="26" t="s">
        <v>5</v>
      </c>
      <c r="C40" s="35">
        <v>15252</v>
      </c>
      <c r="D40" s="28" t="s">
        <v>39</v>
      </c>
      <c r="E40" s="29"/>
      <c r="F40" s="29">
        <v>1</v>
      </c>
      <c r="G40" s="30">
        <v>1</v>
      </c>
      <c r="H40" s="30">
        <v>1</v>
      </c>
      <c r="I40" s="30">
        <v>1</v>
      </c>
      <c r="J40" s="30">
        <v>1</v>
      </c>
      <c r="K40" s="30">
        <v>1</v>
      </c>
      <c r="L40" s="39"/>
      <c r="M40" s="40"/>
      <c r="N40" s="40"/>
      <c r="O40" s="30" t="s">
        <v>94</v>
      </c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41"/>
      <c r="AM40" s="25">
        <f t="shared" si="0"/>
        <v>6</v>
      </c>
    </row>
    <row r="41" spans="1:39" x14ac:dyDescent="0.25">
      <c r="A41" s="15">
        <v>35</v>
      </c>
      <c r="B41" s="26" t="s">
        <v>5</v>
      </c>
      <c r="C41" s="35">
        <v>15289</v>
      </c>
      <c r="D41" s="28" t="s">
        <v>40</v>
      </c>
      <c r="E41" s="29"/>
      <c r="F41" s="29">
        <v>1</v>
      </c>
      <c r="G41" s="30">
        <v>1</v>
      </c>
      <c r="H41" s="30">
        <v>1</v>
      </c>
      <c r="I41" s="30">
        <v>1</v>
      </c>
      <c r="J41" s="30"/>
      <c r="K41" s="30">
        <v>1</v>
      </c>
      <c r="L41" s="39"/>
      <c r="M41" s="40"/>
      <c r="N41" s="4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41"/>
      <c r="AM41" s="25">
        <f t="shared" si="0"/>
        <v>5</v>
      </c>
    </row>
    <row r="42" spans="1:39" x14ac:dyDescent="0.25">
      <c r="A42" s="15">
        <v>36</v>
      </c>
      <c r="B42" s="26" t="s">
        <v>5</v>
      </c>
      <c r="C42" s="27">
        <v>15335</v>
      </c>
      <c r="D42" s="28" t="s">
        <v>41</v>
      </c>
      <c r="E42" s="29"/>
      <c r="F42" s="29">
        <v>1</v>
      </c>
      <c r="G42" s="30">
        <v>1</v>
      </c>
      <c r="H42" s="30">
        <v>1</v>
      </c>
      <c r="I42" s="30">
        <v>1</v>
      </c>
      <c r="J42" s="30"/>
      <c r="K42" s="30">
        <v>1</v>
      </c>
      <c r="L42" s="39"/>
      <c r="M42" s="40"/>
      <c r="N42" s="40"/>
      <c r="O42" s="30" t="s">
        <v>94</v>
      </c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41"/>
      <c r="AM42" s="25">
        <f t="shared" si="0"/>
        <v>5</v>
      </c>
    </row>
    <row r="43" spans="1:39" x14ac:dyDescent="0.25">
      <c r="A43" s="15">
        <v>37</v>
      </c>
      <c r="B43" s="26" t="s">
        <v>5</v>
      </c>
      <c r="C43" s="27">
        <v>15387</v>
      </c>
      <c r="D43" s="28" t="s">
        <v>42</v>
      </c>
      <c r="E43" s="29"/>
      <c r="F43" s="29"/>
      <c r="G43" s="30">
        <v>1</v>
      </c>
      <c r="H43" s="30">
        <v>1</v>
      </c>
      <c r="I43" s="30">
        <v>1</v>
      </c>
      <c r="J43" s="30">
        <v>1</v>
      </c>
      <c r="K43" s="30">
        <v>1</v>
      </c>
      <c r="L43" s="39"/>
      <c r="M43" s="40"/>
      <c r="N43" s="40"/>
      <c r="O43" s="30" t="s">
        <v>94</v>
      </c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41"/>
      <c r="AM43" s="25">
        <f t="shared" si="0"/>
        <v>5</v>
      </c>
    </row>
    <row r="44" spans="1:39" ht="14.25" customHeight="1" x14ac:dyDescent="0.25">
      <c r="A44" s="15">
        <v>38</v>
      </c>
      <c r="B44" s="26" t="s">
        <v>5</v>
      </c>
      <c r="C44" s="27">
        <v>15388</v>
      </c>
      <c r="D44" s="28" t="s">
        <v>43</v>
      </c>
      <c r="E44" s="29"/>
      <c r="F44" s="29">
        <v>1</v>
      </c>
      <c r="G44" s="30">
        <v>1</v>
      </c>
      <c r="H44" s="30">
        <v>1</v>
      </c>
      <c r="I44" s="30">
        <v>1</v>
      </c>
      <c r="J44" s="30">
        <v>1</v>
      </c>
      <c r="K44" s="30">
        <v>1</v>
      </c>
      <c r="L44" s="39"/>
      <c r="M44" s="40"/>
      <c r="N44" s="40"/>
      <c r="O44" s="30" t="s">
        <v>94</v>
      </c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41"/>
      <c r="AM44" s="25">
        <f t="shared" si="0"/>
        <v>6</v>
      </c>
    </row>
    <row r="45" spans="1:39" x14ac:dyDescent="0.25">
      <c r="A45" s="15">
        <v>39</v>
      </c>
      <c r="B45" s="26" t="s">
        <v>5</v>
      </c>
      <c r="C45" s="27">
        <v>15397</v>
      </c>
      <c r="D45" s="28" t="s">
        <v>44</v>
      </c>
      <c r="E45" s="29"/>
      <c r="F45" s="29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9"/>
      <c r="M45" s="40"/>
      <c r="N45" s="40"/>
      <c r="O45" s="30" t="s">
        <v>94</v>
      </c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41"/>
      <c r="AM45" s="25">
        <f t="shared" si="0"/>
        <v>6</v>
      </c>
    </row>
    <row r="46" spans="1:39" x14ac:dyDescent="0.25">
      <c r="A46" s="15">
        <v>40</v>
      </c>
      <c r="B46" s="26" t="s">
        <v>5</v>
      </c>
      <c r="C46" s="27">
        <v>15422</v>
      </c>
      <c r="D46" s="28" t="s">
        <v>45</v>
      </c>
      <c r="E46" s="29"/>
      <c r="F46" s="29">
        <v>1</v>
      </c>
      <c r="G46" s="30">
        <v>1</v>
      </c>
      <c r="H46" s="30">
        <v>1</v>
      </c>
      <c r="I46" s="30"/>
      <c r="J46" s="30">
        <v>1</v>
      </c>
      <c r="K46" s="30">
        <v>1</v>
      </c>
      <c r="L46" s="39"/>
      <c r="M46" s="40"/>
      <c r="N46" s="40"/>
      <c r="O46" s="30" t="s">
        <v>94</v>
      </c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41"/>
      <c r="AM46" s="25">
        <f t="shared" si="0"/>
        <v>5</v>
      </c>
    </row>
    <row r="47" spans="1:39" x14ac:dyDescent="0.25">
      <c r="A47" s="15">
        <v>41</v>
      </c>
      <c r="B47" s="26" t="s">
        <v>5</v>
      </c>
      <c r="C47" s="27">
        <v>15469</v>
      </c>
      <c r="D47" s="28" t="s">
        <v>46</v>
      </c>
      <c r="E47" s="29"/>
      <c r="F47" s="29">
        <v>1</v>
      </c>
      <c r="G47" s="30">
        <v>1</v>
      </c>
      <c r="H47" s="30"/>
      <c r="I47" s="30">
        <v>1</v>
      </c>
      <c r="J47" s="30">
        <v>1</v>
      </c>
      <c r="K47" s="30">
        <v>1</v>
      </c>
      <c r="L47" s="39"/>
      <c r="M47" s="40"/>
      <c r="N47" s="40"/>
      <c r="O47" s="30" t="s">
        <v>94</v>
      </c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41"/>
      <c r="AM47" s="25">
        <f t="shared" si="0"/>
        <v>5</v>
      </c>
    </row>
    <row r="48" spans="1:39" x14ac:dyDescent="0.25">
      <c r="A48" s="15">
        <v>42</v>
      </c>
      <c r="B48" s="26" t="s">
        <v>5</v>
      </c>
      <c r="C48" s="27">
        <v>15471</v>
      </c>
      <c r="D48" s="28" t="s">
        <v>47</v>
      </c>
      <c r="E48" s="29"/>
      <c r="F48" s="29">
        <v>1</v>
      </c>
      <c r="G48" s="30">
        <v>1</v>
      </c>
      <c r="H48" s="30"/>
      <c r="I48" s="30">
        <v>1</v>
      </c>
      <c r="J48" s="30"/>
      <c r="K48" s="30"/>
      <c r="L48" s="39"/>
      <c r="M48" s="40"/>
      <c r="N48" s="4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41"/>
      <c r="AM48" s="25">
        <f t="shared" si="0"/>
        <v>3</v>
      </c>
    </row>
    <row r="49" spans="1:39" x14ac:dyDescent="0.25">
      <c r="A49" s="15">
        <v>43</v>
      </c>
      <c r="B49" s="26" t="s">
        <v>5</v>
      </c>
      <c r="C49" s="27">
        <v>15563</v>
      </c>
      <c r="D49" s="28" t="s">
        <v>49</v>
      </c>
      <c r="E49" s="29"/>
      <c r="F49" s="29">
        <v>1</v>
      </c>
      <c r="G49" s="30">
        <v>1</v>
      </c>
      <c r="H49" s="30">
        <v>1</v>
      </c>
      <c r="I49" s="30">
        <v>1</v>
      </c>
      <c r="J49" s="30"/>
      <c r="K49" s="30">
        <v>1</v>
      </c>
      <c r="L49" s="39"/>
      <c r="M49" s="40"/>
      <c r="N49" s="4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41"/>
      <c r="AM49" s="25">
        <f t="shared" si="0"/>
        <v>5</v>
      </c>
    </row>
    <row r="50" spans="1:39" x14ac:dyDescent="0.25">
      <c r="A50" s="15">
        <v>44</v>
      </c>
      <c r="B50" s="26" t="s">
        <v>5</v>
      </c>
      <c r="C50" s="27">
        <v>15600</v>
      </c>
      <c r="D50" s="28" t="s">
        <v>48</v>
      </c>
      <c r="E50" s="29"/>
      <c r="F50" s="29">
        <v>1</v>
      </c>
      <c r="G50" s="30"/>
      <c r="H50" s="30">
        <v>1</v>
      </c>
      <c r="I50" s="30">
        <v>1</v>
      </c>
      <c r="J50" s="30">
        <v>1</v>
      </c>
      <c r="K50" s="30">
        <v>1</v>
      </c>
      <c r="L50" s="39"/>
      <c r="M50" s="40"/>
      <c r="N50" s="40"/>
      <c r="O50" s="30" t="s">
        <v>94</v>
      </c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41"/>
      <c r="AM50" s="25">
        <f t="shared" si="0"/>
        <v>5</v>
      </c>
    </row>
    <row r="51" spans="1:39" x14ac:dyDescent="0.25">
      <c r="A51" s="15">
        <v>45</v>
      </c>
      <c r="B51" s="26" t="s">
        <v>5</v>
      </c>
      <c r="C51" s="27">
        <v>15601</v>
      </c>
      <c r="D51" s="28" t="s">
        <v>50</v>
      </c>
      <c r="E51" s="29"/>
      <c r="F51" s="29">
        <v>1</v>
      </c>
      <c r="G51" s="30">
        <v>1</v>
      </c>
      <c r="H51" s="30">
        <v>1</v>
      </c>
      <c r="I51" s="30">
        <v>1</v>
      </c>
      <c r="J51" s="30">
        <v>1</v>
      </c>
      <c r="K51" s="30">
        <v>1</v>
      </c>
      <c r="L51" s="39"/>
      <c r="M51" s="40"/>
      <c r="N51" s="4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41"/>
      <c r="AM51" s="25">
        <f t="shared" si="0"/>
        <v>6</v>
      </c>
    </row>
    <row r="52" spans="1:39" x14ac:dyDescent="0.25">
      <c r="A52" s="15">
        <v>46</v>
      </c>
      <c r="B52" s="26" t="s">
        <v>5</v>
      </c>
      <c r="C52" s="27">
        <v>15615</v>
      </c>
      <c r="D52" s="28" t="s">
        <v>51</v>
      </c>
      <c r="E52" s="29"/>
      <c r="F52" s="29">
        <v>1</v>
      </c>
      <c r="G52" s="30">
        <v>1</v>
      </c>
      <c r="H52" s="30"/>
      <c r="I52" s="30">
        <v>1</v>
      </c>
      <c r="J52" s="30"/>
      <c r="K52" s="30"/>
      <c r="L52" s="39"/>
      <c r="M52" s="40"/>
      <c r="N52" s="4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41"/>
      <c r="AM52" s="25">
        <f t="shared" si="0"/>
        <v>3</v>
      </c>
    </row>
    <row r="53" spans="1:39" x14ac:dyDescent="0.25">
      <c r="A53" s="15">
        <v>47</v>
      </c>
      <c r="B53" s="26" t="s">
        <v>5</v>
      </c>
      <c r="C53" s="27">
        <v>15664</v>
      </c>
      <c r="D53" s="28" t="s">
        <v>52</v>
      </c>
      <c r="E53" s="29"/>
      <c r="F53" s="29">
        <v>1</v>
      </c>
      <c r="G53" s="30">
        <v>1</v>
      </c>
      <c r="H53" s="30">
        <v>1</v>
      </c>
      <c r="I53" s="30">
        <v>1</v>
      </c>
      <c r="J53" s="30">
        <v>1</v>
      </c>
      <c r="K53" s="30">
        <v>1</v>
      </c>
      <c r="L53" s="39"/>
      <c r="M53" s="40"/>
      <c r="N53" s="40"/>
      <c r="O53" s="30" t="s">
        <v>94</v>
      </c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41"/>
      <c r="AM53" s="25">
        <f t="shared" si="0"/>
        <v>6</v>
      </c>
    </row>
    <row r="54" spans="1:39" x14ac:dyDescent="0.25">
      <c r="A54" s="15">
        <v>48</v>
      </c>
      <c r="B54" s="26" t="s">
        <v>5</v>
      </c>
      <c r="C54" s="27">
        <v>15716</v>
      </c>
      <c r="D54" s="28" t="s">
        <v>53</v>
      </c>
      <c r="E54" s="29"/>
      <c r="F54" s="29">
        <v>1</v>
      </c>
      <c r="G54" s="30"/>
      <c r="H54" s="30"/>
      <c r="I54" s="30">
        <v>1</v>
      </c>
      <c r="J54" s="30"/>
      <c r="K54" s="30">
        <v>1</v>
      </c>
      <c r="L54" s="39"/>
      <c r="M54" s="40"/>
      <c r="N54" s="4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41"/>
      <c r="AM54" s="25">
        <f t="shared" si="0"/>
        <v>3</v>
      </c>
    </row>
    <row r="55" spans="1:39" x14ac:dyDescent="0.25">
      <c r="A55" s="15">
        <v>49</v>
      </c>
      <c r="B55" s="26" t="s">
        <v>5</v>
      </c>
      <c r="C55" s="27">
        <v>15747</v>
      </c>
      <c r="D55" s="28" t="s">
        <v>54</v>
      </c>
      <c r="E55" s="29"/>
      <c r="F55" s="29">
        <v>1</v>
      </c>
      <c r="G55" s="30">
        <v>1</v>
      </c>
      <c r="H55" s="30"/>
      <c r="I55" s="30">
        <v>1</v>
      </c>
      <c r="J55" s="30">
        <v>1</v>
      </c>
      <c r="K55" s="30">
        <v>1</v>
      </c>
      <c r="L55" s="39"/>
      <c r="M55" s="40"/>
      <c r="N55" s="4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41"/>
      <c r="AM55" s="25">
        <f t="shared" si="0"/>
        <v>5</v>
      </c>
    </row>
    <row r="56" spans="1:39" x14ac:dyDescent="0.25">
      <c r="A56" s="15">
        <v>50</v>
      </c>
      <c r="B56" s="26" t="s">
        <v>5</v>
      </c>
      <c r="C56" s="27">
        <v>15773</v>
      </c>
      <c r="D56" s="28" t="s">
        <v>55</v>
      </c>
      <c r="E56" s="29"/>
      <c r="F56" s="29">
        <v>1</v>
      </c>
      <c r="G56" s="30">
        <v>1</v>
      </c>
      <c r="H56" s="30">
        <v>1</v>
      </c>
      <c r="I56" s="30">
        <v>1</v>
      </c>
      <c r="J56" s="30">
        <v>1</v>
      </c>
      <c r="K56" s="30">
        <v>1</v>
      </c>
      <c r="L56" s="39"/>
      <c r="M56" s="40"/>
      <c r="N56" s="40"/>
      <c r="O56" s="30" t="s">
        <v>94</v>
      </c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41"/>
      <c r="AM56" s="25">
        <f t="shared" si="0"/>
        <v>6</v>
      </c>
    </row>
    <row r="57" spans="1:39" ht="14.25" customHeight="1" x14ac:dyDescent="0.25">
      <c r="A57" s="15">
        <v>51</v>
      </c>
      <c r="B57" s="26" t="s">
        <v>5</v>
      </c>
      <c r="C57" s="27">
        <v>15777</v>
      </c>
      <c r="D57" s="28" t="s">
        <v>56</v>
      </c>
      <c r="E57" s="29"/>
      <c r="F57" s="29"/>
      <c r="G57" s="30">
        <v>1</v>
      </c>
      <c r="H57" s="30">
        <v>1</v>
      </c>
      <c r="I57" s="30">
        <v>1</v>
      </c>
      <c r="J57" s="30">
        <v>1</v>
      </c>
      <c r="K57" s="30">
        <v>1</v>
      </c>
      <c r="L57" s="39"/>
      <c r="M57" s="40"/>
      <c r="N57" s="40"/>
      <c r="O57" s="30" t="s">
        <v>94</v>
      </c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41"/>
      <c r="AM57" s="25">
        <f t="shared" si="0"/>
        <v>5</v>
      </c>
    </row>
    <row r="58" spans="1:39" x14ac:dyDescent="0.25">
      <c r="A58" s="15">
        <v>52</v>
      </c>
      <c r="B58" s="26" t="s">
        <v>5</v>
      </c>
      <c r="C58" s="27">
        <v>15797</v>
      </c>
      <c r="D58" s="28" t="s">
        <v>57</v>
      </c>
      <c r="E58" s="29"/>
      <c r="F58" s="29">
        <v>1</v>
      </c>
      <c r="G58" s="30">
        <v>1</v>
      </c>
      <c r="H58" s="30">
        <v>1</v>
      </c>
      <c r="I58" s="30"/>
      <c r="J58" s="30">
        <v>1</v>
      </c>
      <c r="K58" s="30"/>
      <c r="L58" s="39"/>
      <c r="M58" s="40"/>
      <c r="N58" s="40"/>
      <c r="O58" s="30" t="s">
        <v>94</v>
      </c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41"/>
      <c r="AM58" s="25">
        <f t="shared" si="0"/>
        <v>4</v>
      </c>
    </row>
    <row r="59" spans="1:39" x14ac:dyDescent="0.25">
      <c r="A59" s="15">
        <v>53</v>
      </c>
      <c r="B59" s="26" t="s">
        <v>5</v>
      </c>
      <c r="C59" s="27">
        <v>15804</v>
      </c>
      <c r="D59" s="28" t="s">
        <v>58</v>
      </c>
      <c r="E59" s="29"/>
      <c r="F59" s="29">
        <v>1</v>
      </c>
      <c r="G59" s="30"/>
      <c r="H59" s="30">
        <v>1</v>
      </c>
      <c r="I59" s="30"/>
      <c r="J59" s="30">
        <v>1</v>
      </c>
      <c r="K59" s="30">
        <v>1</v>
      </c>
      <c r="L59" s="39"/>
      <c r="M59" s="40"/>
      <c r="N59" s="4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41"/>
      <c r="AM59" s="25">
        <f t="shared" si="0"/>
        <v>4</v>
      </c>
    </row>
    <row r="60" spans="1:39" x14ac:dyDescent="0.25">
      <c r="A60" s="15">
        <v>54</v>
      </c>
      <c r="B60" s="26" t="s">
        <v>5</v>
      </c>
      <c r="C60" s="27">
        <v>15806</v>
      </c>
      <c r="D60" s="42" t="s">
        <v>59</v>
      </c>
      <c r="E60" s="43"/>
      <c r="F60" s="43">
        <v>1</v>
      </c>
      <c r="G60" s="44">
        <v>1</v>
      </c>
      <c r="H60" s="44">
        <v>1</v>
      </c>
      <c r="I60" s="30">
        <v>1</v>
      </c>
      <c r="J60" s="44">
        <v>1</v>
      </c>
      <c r="K60" s="44">
        <v>1</v>
      </c>
      <c r="L60" s="45"/>
      <c r="M60" s="46"/>
      <c r="N60" s="46"/>
      <c r="O60" s="44" t="s">
        <v>94</v>
      </c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7"/>
      <c r="AM60" s="48">
        <f t="shared" si="0"/>
        <v>6</v>
      </c>
    </row>
    <row r="61" spans="1:39" s="49" customFormat="1" x14ac:dyDescent="0.25">
      <c r="A61" s="50"/>
      <c r="B61" s="51"/>
      <c r="C61" s="52"/>
      <c r="D61" s="53" t="s">
        <v>6</v>
      </c>
      <c r="E61" s="54"/>
      <c r="F61" s="55"/>
      <c r="G61" s="55"/>
      <c r="H61" s="55"/>
      <c r="I61" s="55"/>
      <c r="J61" s="55"/>
      <c r="K61" s="55"/>
      <c r="L61" s="56"/>
      <c r="M61" s="56"/>
      <c r="N61" s="56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7"/>
      <c r="AL61" s="58"/>
      <c r="AM61" s="59"/>
    </row>
    <row r="62" spans="1:39" s="60" customFormat="1" x14ac:dyDescent="0.25">
      <c r="A62" s="61"/>
      <c r="C62" s="62"/>
      <c r="D62" s="63"/>
      <c r="E62" s="2"/>
      <c r="F62" s="2"/>
      <c r="G62" s="2"/>
      <c r="H62" s="2"/>
      <c r="I62" s="2"/>
      <c r="J62" s="2"/>
      <c r="K62" s="2"/>
      <c r="L62" s="1"/>
      <c r="M62" s="1"/>
      <c r="N62" s="1"/>
      <c r="O62" s="64">
        <v>41190</v>
      </c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M62" s="65"/>
    </row>
    <row r="63" spans="1:39" x14ac:dyDescent="0.25">
      <c r="C63" s="66"/>
      <c r="D63" s="7"/>
    </row>
    <row r="76" spans="3:4" x14ac:dyDescent="0.25">
      <c r="C76" s="3" t="s">
        <v>92</v>
      </c>
      <c r="D76" s="64">
        <v>41157</v>
      </c>
    </row>
  </sheetData>
  <mergeCells count="25">
    <mergeCell ref="A3:A6"/>
    <mergeCell ref="E3:AM4"/>
    <mergeCell ref="A1:AJ1"/>
    <mergeCell ref="A2:AJ2"/>
    <mergeCell ref="AK5:AL5"/>
    <mergeCell ref="C3:C6"/>
    <mergeCell ref="B3:B6"/>
    <mergeCell ref="AA5:AB5"/>
    <mergeCell ref="AI5:AJ5"/>
    <mergeCell ref="D3:D6"/>
    <mergeCell ref="AE5:AF5"/>
    <mergeCell ref="M6:N6"/>
    <mergeCell ref="I5:J5"/>
    <mergeCell ref="AG5:AH5"/>
    <mergeCell ref="G5:H5"/>
    <mergeCell ref="E5:F5"/>
    <mergeCell ref="Y5:Z5"/>
    <mergeCell ref="AC5:AD5"/>
    <mergeCell ref="K5:L5"/>
    <mergeCell ref="U5:V5"/>
    <mergeCell ref="S5:T5"/>
    <mergeCell ref="Q5:R5"/>
    <mergeCell ref="O5:P5"/>
    <mergeCell ref="M5:N5"/>
    <mergeCell ref="W5:X5"/>
  </mergeCells>
  <printOptions horizontalCentered="1" verticalCentered="1"/>
  <pageMargins left="0.25" right="0.25" top="0.75" bottom="0.75" header="0.3" footer="0.3"/>
  <pageSetup paperSize="9" scale="6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S48"/>
  <sheetViews>
    <sheetView zoomScale="84" zoomScaleNormal="84" workbookViewId="0">
      <selection activeCell="D28" sqref="D28"/>
    </sheetView>
  </sheetViews>
  <sheetFormatPr defaultRowHeight="15" x14ac:dyDescent="0.25"/>
  <cols>
    <col min="2" max="2" width="17.7109375" customWidth="1"/>
    <col min="4" max="4" width="14" customWidth="1"/>
    <col min="5" max="5" width="19" customWidth="1"/>
    <col min="6" max="6" width="21.28515625" bestFit="1" customWidth="1"/>
    <col min="19" max="19" width="12.140625" customWidth="1"/>
  </cols>
  <sheetData>
    <row r="1" spans="1:11" ht="22.5" customHeight="1" x14ac:dyDescent="0.25">
      <c r="A1" s="230" t="s">
        <v>126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</row>
    <row r="2" spans="1:11" ht="22.5" customHeight="1" x14ac:dyDescent="0.25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</row>
    <row r="3" spans="1:11" ht="20.25" customHeight="1" x14ac:dyDescent="0.25">
      <c r="A3" s="234" t="s">
        <v>127</v>
      </c>
      <c r="B3" s="234"/>
      <c r="C3" s="234"/>
      <c r="D3" s="234"/>
      <c r="E3" s="234"/>
      <c r="F3" s="234"/>
      <c r="G3" s="234"/>
      <c r="H3" s="234"/>
      <c r="I3" s="234"/>
      <c r="J3" s="234"/>
      <c r="K3" s="234"/>
    </row>
    <row r="4" spans="1:11" ht="20.25" customHeight="1" x14ac:dyDescent="0.25">
      <c r="A4" s="231" t="s">
        <v>183</v>
      </c>
      <c r="B4" s="231"/>
      <c r="C4" s="231"/>
      <c r="D4" s="231"/>
      <c r="E4" s="231"/>
      <c r="F4" s="231"/>
      <c r="G4" s="231"/>
      <c r="H4" s="231"/>
      <c r="I4" s="231"/>
      <c r="J4" s="231"/>
      <c r="K4" s="231"/>
    </row>
    <row r="5" spans="1:11" ht="15.75" customHeight="1" x14ac:dyDescent="0.25">
      <c r="A5" s="228" t="s">
        <v>189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</row>
    <row r="6" spans="1:11" ht="15.75" customHeight="1" x14ac:dyDescent="0.25">
      <c r="A6" s="150" t="s">
        <v>157</v>
      </c>
      <c r="B6" s="150">
        <v>2016</v>
      </c>
      <c r="C6" s="99"/>
      <c r="D6" s="99"/>
      <c r="E6" s="99"/>
      <c r="F6" s="99"/>
      <c r="G6" s="99"/>
      <c r="H6" s="99"/>
      <c r="I6" s="99"/>
      <c r="J6" s="99"/>
      <c r="K6" s="99"/>
    </row>
    <row r="7" spans="1:11" ht="20.100000000000001" customHeight="1" x14ac:dyDescent="0.25">
      <c r="A7" s="232" t="s">
        <v>128</v>
      </c>
      <c r="B7" s="232"/>
      <c r="C7" s="232"/>
      <c r="D7" s="232"/>
      <c r="E7" s="232"/>
      <c r="F7" s="232"/>
      <c r="G7" s="232"/>
      <c r="H7" s="232"/>
      <c r="I7" s="232"/>
      <c r="J7" s="232"/>
      <c r="K7" s="232"/>
    </row>
    <row r="8" spans="1:11" ht="20.100000000000001" customHeight="1" x14ac:dyDescent="0.25">
      <c r="A8" s="233" t="s">
        <v>184</v>
      </c>
      <c r="B8" s="233"/>
      <c r="C8" s="233"/>
      <c r="D8" s="233"/>
      <c r="E8" s="233"/>
      <c r="F8" s="233"/>
      <c r="G8" s="233"/>
      <c r="H8" s="233"/>
      <c r="I8" s="233"/>
      <c r="J8" s="233"/>
      <c r="K8" s="83"/>
    </row>
    <row r="9" spans="1:11" ht="20.100000000000001" customHeight="1" x14ac:dyDescent="0.25">
      <c r="A9" s="232" t="s">
        <v>185</v>
      </c>
      <c r="B9" s="232"/>
      <c r="C9" s="232"/>
      <c r="D9" s="232"/>
      <c r="E9" s="232"/>
      <c r="F9" s="232"/>
      <c r="G9" s="232"/>
      <c r="H9" s="232"/>
      <c r="I9" s="232"/>
      <c r="J9" s="232"/>
      <c r="K9" s="232"/>
    </row>
    <row r="10" spans="1:11" ht="20.100000000000001" customHeight="1" x14ac:dyDescent="0.25">
      <c r="A10" s="232" t="s">
        <v>186</v>
      </c>
      <c r="B10" s="232"/>
      <c r="C10" s="232"/>
      <c r="D10" s="232"/>
      <c r="E10" s="232"/>
      <c r="F10" s="232"/>
      <c r="G10" s="232"/>
      <c r="H10" s="232"/>
      <c r="I10" s="232"/>
      <c r="J10" s="232"/>
      <c r="K10" s="232"/>
    </row>
    <row r="11" spans="1:11" ht="20.100000000000001" customHeight="1" x14ac:dyDescent="0.25">
      <c r="A11" s="222" t="s">
        <v>187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</row>
    <row r="12" spans="1:11" ht="20.100000000000001" customHeight="1" x14ac:dyDescent="0.25">
      <c r="A12" s="222" t="s">
        <v>168</v>
      </c>
      <c r="B12" s="222"/>
      <c r="C12" s="222"/>
      <c r="D12" s="222"/>
      <c r="E12" s="164">
        <v>42</v>
      </c>
      <c r="F12" s="114"/>
      <c r="G12" s="114"/>
      <c r="H12" s="114"/>
      <c r="I12" s="114"/>
      <c r="J12" s="114"/>
      <c r="K12" s="114"/>
    </row>
    <row r="13" spans="1:11" ht="20.100000000000001" customHeight="1" x14ac:dyDescent="0.25">
      <c r="A13" s="222" t="s">
        <v>173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</row>
    <row r="14" spans="1:11" ht="20.100000000000001" customHeight="1" x14ac:dyDescent="0.25">
      <c r="A14" s="119" t="s">
        <v>132</v>
      </c>
      <c r="B14" s="120"/>
      <c r="C14" s="121">
        <v>3</v>
      </c>
      <c r="D14" s="97"/>
      <c r="E14" s="97"/>
      <c r="F14" s="97"/>
      <c r="G14" s="97"/>
      <c r="H14" s="97"/>
      <c r="I14" s="97"/>
      <c r="J14" s="97"/>
      <c r="K14" s="97"/>
    </row>
    <row r="15" spans="1:11" ht="15.75" customHeight="1" x14ac:dyDescent="0.25">
      <c r="A15" s="122" t="s">
        <v>133</v>
      </c>
      <c r="B15" s="123"/>
      <c r="C15" s="124">
        <v>1</v>
      </c>
      <c r="I15" s="82"/>
    </row>
    <row r="16" spans="1:11" ht="15.75" customHeight="1" x14ac:dyDescent="0.25">
      <c r="A16" s="225" t="s">
        <v>134</v>
      </c>
      <c r="B16" s="225"/>
      <c r="C16" s="125">
        <f>C14+C15</f>
        <v>4</v>
      </c>
      <c r="I16" s="82"/>
    </row>
    <row r="17" spans="1:19" ht="15.75" customHeight="1" x14ac:dyDescent="0.25">
      <c r="A17" s="107"/>
      <c r="B17" s="107"/>
      <c r="C17" s="175"/>
      <c r="I17" s="82"/>
    </row>
    <row r="18" spans="1:19" ht="15.75" customHeight="1" x14ac:dyDescent="0.25">
      <c r="A18" s="221" t="s">
        <v>141</v>
      </c>
      <c r="B18" s="221"/>
      <c r="C18" s="221"/>
      <c r="D18" s="221"/>
      <c r="E18" s="221"/>
      <c r="F18" s="221"/>
      <c r="G18" s="221"/>
      <c r="H18" s="221"/>
      <c r="I18" s="82"/>
    </row>
    <row r="19" spans="1:19" ht="15.75" customHeight="1" x14ac:dyDescent="0.25">
      <c r="A19" s="110" t="s">
        <v>135</v>
      </c>
      <c r="B19" s="110" t="s">
        <v>136</v>
      </c>
      <c r="C19" s="125" t="s">
        <v>137</v>
      </c>
      <c r="D19" s="125" t="s">
        <v>138</v>
      </c>
      <c r="E19" s="125" t="s">
        <v>139</v>
      </c>
      <c r="F19" s="125" t="s">
        <v>100</v>
      </c>
      <c r="G19" s="125" t="s">
        <v>99</v>
      </c>
      <c r="H19" s="149" t="s">
        <v>0</v>
      </c>
      <c r="I19" s="82"/>
    </row>
    <row r="20" spans="1:19" ht="15.75" customHeight="1" x14ac:dyDescent="0.25">
      <c r="A20" s="102">
        <v>1</v>
      </c>
      <c r="B20" s="102">
        <v>1</v>
      </c>
      <c r="C20" s="104">
        <v>3</v>
      </c>
      <c r="D20" s="104">
        <v>2</v>
      </c>
      <c r="E20" s="104">
        <v>3</v>
      </c>
      <c r="F20" s="104">
        <v>12</v>
      </c>
      <c r="G20" s="104">
        <v>12</v>
      </c>
      <c r="H20" s="124">
        <f>SUM(E20,F20,G20)</f>
        <v>27</v>
      </c>
      <c r="I20" s="82"/>
    </row>
    <row r="21" spans="1:19" ht="15.75" customHeight="1" x14ac:dyDescent="0.25">
      <c r="A21" s="102">
        <v>2</v>
      </c>
      <c r="B21" s="104">
        <v>2</v>
      </c>
      <c r="C21" s="104">
        <v>3</v>
      </c>
      <c r="D21" s="104">
        <v>2</v>
      </c>
      <c r="E21" s="104">
        <v>4</v>
      </c>
      <c r="F21" s="104">
        <v>2</v>
      </c>
      <c r="G21" s="104">
        <v>23</v>
      </c>
      <c r="H21" s="124">
        <f>SUM(E21,F21,G21)</f>
        <v>29</v>
      </c>
      <c r="I21" s="82"/>
    </row>
    <row r="22" spans="1:19" ht="15.75" customHeight="1" x14ac:dyDescent="0.25">
      <c r="A22" s="102">
        <v>3</v>
      </c>
      <c r="B22" s="104">
        <v>3</v>
      </c>
      <c r="C22" s="104">
        <v>1</v>
      </c>
      <c r="D22" s="104">
        <v>1</v>
      </c>
      <c r="E22" s="104">
        <v>3</v>
      </c>
      <c r="F22" s="104">
        <v>6</v>
      </c>
      <c r="G22" s="104">
        <v>15</v>
      </c>
      <c r="H22" s="124">
        <f>SUM(E22,F22,G22)</f>
        <v>24</v>
      </c>
      <c r="I22" s="82"/>
    </row>
    <row r="23" spans="1:19" ht="15.75" customHeight="1" x14ac:dyDescent="0.25">
      <c r="A23" s="102"/>
      <c r="B23" s="104"/>
      <c r="C23" s="104"/>
      <c r="D23" s="104"/>
      <c r="E23" s="104"/>
      <c r="F23" s="104"/>
      <c r="G23" s="104"/>
      <c r="H23" s="124"/>
      <c r="I23" s="82"/>
    </row>
    <row r="24" spans="1:19" ht="15.75" customHeight="1" x14ac:dyDescent="0.25">
      <c r="A24" s="224" t="s">
        <v>140</v>
      </c>
      <c r="B24" s="224"/>
      <c r="C24" s="224"/>
      <c r="D24" s="224"/>
      <c r="E24" s="124">
        <f>SUM(E20:E23)</f>
        <v>10</v>
      </c>
      <c r="F24" s="124">
        <f>SUM(F20:F23)</f>
        <v>20</v>
      </c>
      <c r="G24" s="124">
        <f>SUM(G20:G23)</f>
        <v>50</v>
      </c>
      <c r="I24" s="82"/>
    </row>
    <row r="25" spans="1:19" ht="15.75" customHeight="1" x14ac:dyDescent="0.25">
      <c r="A25" s="224" t="s">
        <v>146</v>
      </c>
      <c r="B25" s="224"/>
      <c r="C25" s="224"/>
      <c r="D25" s="224"/>
      <c r="E25" s="103"/>
      <c r="F25" s="125">
        <f>SUM(E24,F24,G24)</f>
        <v>80</v>
      </c>
      <c r="G25" s="103"/>
      <c r="I25" s="82"/>
    </row>
    <row r="26" spans="1:19" ht="15.75" customHeight="1" x14ac:dyDescent="0.25">
      <c r="A26" s="105"/>
      <c r="B26" s="105"/>
      <c r="C26" s="105"/>
      <c r="D26" s="105"/>
      <c r="E26" s="106"/>
      <c r="F26" s="106"/>
      <c r="G26" s="106"/>
      <c r="I26" s="82"/>
    </row>
    <row r="27" spans="1:19" ht="15.75" customHeight="1" x14ac:dyDescent="0.25">
      <c r="A27" s="237" t="s">
        <v>143</v>
      </c>
      <c r="B27" s="237"/>
      <c r="C27" s="237"/>
      <c r="D27" s="237"/>
      <c r="E27" s="237"/>
      <c r="F27" s="237"/>
      <c r="G27" s="237"/>
      <c r="I27" s="82"/>
    </row>
    <row r="28" spans="1:19" ht="21" customHeight="1" x14ac:dyDescent="0.25">
      <c r="A28" s="110" t="s">
        <v>135</v>
      </c>
      <c r="B28" s="110" t="s">
        <v>136</v>
      </c>
      <c r="C28" s="110" t="s">
        <v>137</v>
      </c>
      <c r="D28" s="110" t="s">
        <v>138</v>
      </c>
      <c r="E28" s="111" t="s">
        <v>145</v>
      </c>
      <c r="F28" s="181" t="s">
        <v>176</v>
      </c>
      <c r="G28" s="109" t="s">
        <v>99</v>
      </c>
      <c r="H28" s="177" t="s">
        <v>0</v>
      </c>
      <c r="I28" s="179"/>
      <c r="J28" s="179" t="s">
        <v>179</v>
      </c>
      <c r="K28" s="179"/>
      <c r="L28" s="179"/>
      <c r="M28" s="179"/>
      <c r="N28" s="179"/>
      <c r="O28" s="179"/>
      <c r="P28" s="179"/>
      <c r="Q28" s="179"/>
      <c r="R28" s="179"/>
      <c r="S28" s="179"/>
    </row>
    <row r="29" spans="1:19" ht="21" customHeight="1" x14ac:dyDescent="0.25">
      <c r="A29" s="102">
        <v>1</v>
      </c>
      <c r="B29" s="102">
        <v>4</v>
      </c>
      <c r="C29" s="104">
        <v>3</v>
      </c>
      <c r="D29" s="104">
        <v>5</v>
      </c>
      <c r="E29" s="104">
        <v>10</v>
      </c>
      <c r="F29" s="104"/>
      <c r="G29" s="109">
        <v>10</v>
      </c>
      <c r="H29" s="124">
        <f>SUM(E29,F29,G29)</f>
        <v>20</v>
      </c>
      <c r="I29" s="180"/>
      <c r="J29" s="180" t="s">
        <v>180</v>
      </c>
      <c r="K29" s="180"/>
      <c r="L29" s="180"/>
      <c r="M29" s="180"/>
      <c r="N29" s="180"/>
      <c r="O29" s="180"/>
      <c r="P29" s="180"/>
      <c r="Q29" s="180"/>
      <c r="R29" s="180"/>
      <c r="S29" s="180"/>
    </row>
    <row r="30" spans="1:19" ht="21" customHeight="1" x14ac:dyDescent="0.25">
      <c r="A30" s="102">
        <v>2</v>
      </c>
      <c r="B30" s="104"/>
      <c r="C30" s="104"/>
      <c r="D30" s="104"/>
      <c r="E30" s="104"/>
      <c r="F30" s="104"/>
      <c r="G30" s="109"/>
      <c r="H30" s="124">
        <f>SUM(E30,F30,G30)</f>
        <v>0</v>
      </c>
      <c r="I30" s="178"/>
      <c r="J30" s="178" t="s">
        <v>181</v>
      </c>
      <c r="K30" s="178"/>
      <c r="L30" s="178"/>
      <c r="M30" s="178"/>
      <c r="N30" s="178"/>
      <c r="O30" s="178"/>
      <c r="P30" s="178"/>
      <c r="Q30" s="178"/>
      <c r="R30" s="178"/>
      <c r="S30" s="178"/>
    </row>
    <row r="31" spans="1:19" ht="21" customHeight="1" x14ac:dyDescent="0.25">
      <c r="A31" s="102">
        <v>3</v>
      </c>
      <c r="B31" s="104"/>
      <c r="C31" s="104"/>
      <c r="D31" s="104"/>
      <c r="E31" s="104"/>
      <c r="F31" s="104"/>
      <c r="G31" s="109"/>
      <c r="H31" s="124">
        <f>SUM(E31,F31,G31)</f>
        <v>0</v>
      </c>
      <c r="I31" s="82"/>
      <c r="J31" s="188" t="s">
        <v>182</v>
      </c>
      <c r="K31" s="188"/>
      <c r="L31" s="188"/>
      <c r="M31" s="188"/>
      <c r="N31" s="188"/>
      <c r="O31" s="188"/>
      <c r="P31" s="188"/>
    </row>
    <row r="32" spans="1:19" ht="21" customHeight="1" x14ac:dyDescent="0.25">
      <c r="A32" s="224" t="s">
        <v>144</v>
      </c>
      <c r="B32" s="224"/>
      <c r="C32" s="224"/>
      <c r="D32" s="224"/>
      <c r="E32" s="109">
        <f>SUM(E29:E31)</f>
        <v>10</v>
      </c>
      <c r="F32" s="124">
        <f>SUM(F29:F31)</f>
        <v>0</v>
      </c>
      <c r="G32" s="109">
        <f>SUM(G29:G31)</f>
        <v>10</v>
      </c>
      <c r="I32" s="82"/>
    </row>
    <row r="33" spans="1:17" ht="21" customHeight="1" x14ac:dyDescent="0.25">
      <c r="A33" s="224" t="s">
        <v>147</v>
      </c>
      <c r="B33" s="224"/>
      <c r="C33" s="224"/>
      <c r="D33" s="224"/>
      <c r="E33" s="109"/>
      <c r="F33" s="109">
        <f>SUM(E32,F32,G32)</f>
        <v>20</v>
      </c>
      <c r="G33" s="108"/>
      <c r="I33" s="82"/>
    </row>
    <row r="34" spans="1:17" ht="52.5" customHeight="1" x14ac:dyDescent="0.25">
      <c r="A34" s="225" t="s">
        <v>148</v>
      </c>
      <c r="B34" s="225"/>
      <c r="C34" s="225"/>
      <c r="D34" s="225"/>
      <c r="E34" s="225"/>
      <c r="F34" s="111">
        <f>SUM(F25,F33)</f>
        <v>100</v>
      </c>
      <c r="G34" s="226" t="s">
        <v>149</v>
      </c>
      <c r="H34" s="227"/>
      <c r="I34" s="227"/>
      <c r="J34" s="227"/>
      <c r="K34" s="227"/>
      <c r="L34" s="227"/>
      <c r="M34" s="227"/>
      <c r="N34" s="227"/>
      <c r="O34" s="227"/>
      <c r="P34" s="227"/>
      <c r="Q34" s="227"/>
    </row>
    <row r="35" spans="1:17" ht="99.95" customHeight="1" x14ac:dyDescent="0.25">
      <c r="A35" s="235" t="s">
        <v>123</v>
      </c>
      <c r="B35" s="235"/>
      <c r="C35" s="235"/>
      <c r="D35" s="235"/>
      <c r="E35" s="235"/>
      <c r="F35" s="235"/>
      <c r="G35" s="235"/>
      <c r="H35" s="235"/>
      <c r="I35" s="235"/>
      <c r="J35" s="235"/>
      <c r="K35" s="235"/>
    </row>
    <row r="36" spans="1:17" ht="15.75" x14ac:dyDescent="0.25">
      <c r="A36" s="236" t="s">
        <v>125</v>
      </c>
      <c r="B36" s="236"/>
      <c r="C36" s="236"/>
      <c r="D36" s="236"/>
      <c r="E36" s="236"/>
      <c r="F36" s="236"/>
      <c r="G36" s="236"/>
      <c r="H36" s="236"/>
      <c r="I36" s="236"/>
      <c r="J36" s="236"/>
      <c r="K36" s="236"/>
    </row>
    <row r="37" spans="1:17" ht="15.75" x14ac:dyDescent="0.25">
      <c r="A37" s="81"/>
    </row>
    <row r="38" spans="1:17" ht="15.75" x14ac:dyDescent="0.25">
      <c r="A38" s="229" t="s">
        <v>121</v>
      </c>
      <c r="B38" s="229"/>
      <c r="C38" s="229"/>
      <c r="D38" s="229"/>
      <c r="E38" s="229"/>
      <c r="F38" s="229"/>
      <c r="G38" s="229"/>
      <c r="H38" s="229"/>
      <c r="I38" s="229"/>
      <c r="J38" s="229"/>
      <c r="K38" s="229"/>
    </row>
    <row r="39" spans="1:17" ht="15.75" x14ac:dyDescent="0.25">
      <c r="A39" s="126" t="s">
        <v>122</v>
      </c>
      <c r="B39" s="126"/>
      <c r="C39" s="126"/>
      <c r="D39" s="126"/>
      <c r="E39" s="126"/>
      <c r="F39" s="126"/>
      <c r="G39" s="126"/>
      <c r="H39" s="126"/>
      <c r="I39" s="126"/>
      <c r="J39" s="126"/>
      <c r="K39" s="126"/>
    </row>
    <row r="40" spans="1:17" x14ac:dyDescent="0.25">
      <c r="A40" s="127" t="s">
        <v>136</v>
      </c>
      <c r="B40" s="223" t="s">
        <v>105</v>
      </c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3"/>
    </row>
    <row r="41" spans="1:17" x14ac:dyDescent="0.25">
      <c r="A41" s="124">
        <v>1</v>
      </c>
      <c r="B41" s="220"/>
      <c r="C41" s="220"/>
      <c r="D41" s="220"/>
      <c r="E41" s="220"/>
      <c r="F41" s="220"/>
      <c r="G41" s="220"/>
      <c r="H41" s="220"/>
      <c r="I41" s="220"/>
      <c r="J41" s="220"/>
      <c r="K41" s="220"/>
      <c r="L41" s="220"/>
      <c r="M41" s="220"/>
      <c r="N41" s="220"/>
      <c r="O41" s="220"/>
    </row>
    <row r="42" spans="1:17" x14ac:dyDescent="0.25">
      <c r="A42" s="124">
        <v>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  <c r="O42" s="220"/>
    </row>
    <row r="43" spans="1:17" x14ac:dyDescent="0.25">
      <c r="A43" s="124">
        <v>3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  <c r="O43" s="220"/>
    </row>
    <row r="44" spans="1:17" x14ac:dyDescent="0.25">
      <c r="A44" s="124">
        <v>4</v>
      </c>
      <c r="B44" s="220"/>
      <c r="C44" s="220"/>
      <c r="D44" s="220"/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</row>
    <row r="45" spans="1:17" x14ac:dyDescent="0.25">
      <c r="A45" s="124">
        <v>5</v>
      </c>
      <c r="B45" s="220"/>
      <c r="C45" s="220"/>
      <c r="D45" s="220"/>
      <c r="E45" s="220"/>
      <c r="F45" s="220"/>
      <c r="G45" s="220"/>
      <c r="H45" s="220"/>
      <c r="I45" s="220"/>
      <c r="J45" s="220"/>
      <c r="K45" s="220"/>
      <c r="L45" s="220"/>
      <c r="M45" s="220"/>
      <c r="N45" s="220"/>
      <c r="O45" s="220"/>
    </row>
    <row r="46" spans="1:17" x14ac:dyDescent="0.25">
      <c r="A46" s="176">
        <v>6</v>
      </c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</row>
    <row r="47" spans="1:17" x14ac:dyDescent="0.25">
      <c r="A47" s="176">
        <v>7</v>
      </c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</row>
    <row r="48" spans="1:17" x14ac:dyDescent="0.25">
      <c r="A48" s="106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</row>
  </sheetData>
  <mergeCells count="31">
    <mergeCell ref="A5:K5"/>
    <mergeCell ref="A38:K38"/>
    <mergeCell ref="A1:K2"/>
    <mergeCell ref="A4:K4"/>
    <mergeCell ref="A7:K7"/>
    <mergeCell ref="A8:J8"/>
    <mergeCell ref="A9:K9"/>
    <mergeCell ref="A10:K10"/>
    <mergeCell ref="A3:K3"/>
    <mergeCell ref="A35:K35"/>
    <mergeCell ref="A36:K36"/>
    <mergeCell ref="A16:B16"/>
    <mergeCell ref="A24:D24"/>
    <mergeCell ref="A25:D25"/>
    <mergeCell ref="A27:G27"/>
    <mergeCell ref="A32:D32"/>
    <mergeCell ref="A18:H18"/>
    <mergeCell ref="A11:K11"/>
    <mergeCell ref="A13:K13"/>
    <mergeCell ref="B40:O40"/>
    <mergeCell ref="B41:O41"/>
    <mergeCell ref="A12:D12"/>
    <mergeCell ref="A33:D33"/>
    <mergeCell ref="A34:E34"/>
    <mergeCell ref="G34:Q34"/>
    <mergeCell ref="B46:O46"/>
    <mergeCell ref="B47:O47"/>
    <mergeCell ref="B42:O42"/>
    <mergeCell ref="B43:O43"/>
    <mergeCell ref="B44:O44"/>
    <mergeCell ref="B45:O45"/>
  </mergeCells>
  <conditionalFormatting sqref="F34">
    <cfRule type="cellIs" dxfId="193" priority="45" operator="notEqual">
      <formula>100</formula>
    </cfRule>
    <cfRule type="cellIs" dxfId="192" priority="46" operator="equal">
      <formula>100</formula>
    </cfRule>
  </conditionalFormatting>
  <conditionalFormatting sqref="F24">
    <cfRule type="expression" dxfId="191" priority="3">
      <formula>$C$14=0</formula>
    </cfRule>
    <cfRule type="cellIs" dxfId="190" priority="43" operator="notEqual">
      <formula>20</formula>
    </cfRule>
    <cfRule type="cellIs" dxfId="189" priority="44" operator="equal">
      <formula>20</formula>
    </cfRule>
  </conditionalFormatting>
  <conditionalFormatting sqref="E24">
    <cfRule type="expression" dxfId="188" priority="4">
      <formula>$C$14=0</formula>
    </cfRule>
    <cfRule type="expression" dxfId="187" priority="29">
      <formula>IF(AND(E24&lt;&gt;10,C15&gt;0),1,0)</formula>
    </cfRule>
    <cfRule type="expression" dxfId="186" priority="30">
      <formula>IF(AND(E24=10,C15&gt;0),1,0)</formula>
    </cfRule>
    <cfRule type="expression" dxfId="185" priority="34">
      <formula>IF(AND(E24&lt;&gt;20,C15=0),1,0)</formula>
    </cfRule>
    <cfRule type="expression" dxfId="184" priority="35">
      <formula>AND(E24=20,C15=0)</formula>
    </cfRule>
  </conditionalFormatting>
  <conditionalFormatting sqref="G24">
    <cfRule type="expression" dxfId="183" priority="2">
      <formula>$C$14=0</formula>
    </cfRule>
    <cfRule type="expression" dxfId="182" priority="26">
      <formula>IF(AND(G24&lt;&gt;60,C15=0),1,0)</formula>
    </cfRule>
    <cfRule type="expression" dxfId="181" priority="27">
      <formula>IF(AND(G24&lt;&gt;50,C15&gt;0),1,0)</formula>
    </cfRule>
    <cfRule type="expression" dxfId="180" priority="28">
      <formula>IF(AND(G24=50,C15&gt;0),1,0)</formula>
    </cfRule>
    <cfRule type="expression" dxfId="179" priority="33">
      <formula>IF(AND(G24=60,C15=0),1,0)</formula>
    </cfRule>
  </conditionalFormatting>
  <conditionalFormatting sqref="F25">
    <cfRule type="expression" dxfId="178" priority="1">
      <formula>$C$14=0</formula>
    </cfRule>
    <cfRule type="expression" dxfId="177" priority="24">
      <formula>IF(AND(F25&lt;&gt;80,C15&gt;0),1,0)</formula>
    </cfRule>
    <cfRule type="expression" dxfId="176" priority="25">
      <formula>IF(AND(F25=80,C15&gt;0),1,0)</formula>
    </cfRule>
    <cfRule type="expression" dxfId="175" priority="31">
      <formula>IF(AND(F25&lt;&gt;100,C15=0),1,0)</formula>
    </cfRule>
    <cfRule type="expression" dxfId="174" priority="32">
      <formula>IF(AND(F25=100,C15=0),1,0)</formula>
    </cfRule>
  </conditionalFormatting>
  <conditionalFormatting sqref="E32">
    <cfRule type="expression" dxfId="173" priority="11">
      <formula>IF(AND(E32&lt;&gt;30,C15&gt;0,C14=0),1,0)</formula>
    </cfRule>
    <cfRule type="expression" dxfId="172" priority="14">
      <formula>IF(AND($C$14=0,E32=30,C15&gt;0),1,0)</formula>
    </cfRule>
    <cfRule type="expression" dxfId="171" priority="22">
      <formula>IF(AND(E32&lt;&gt;10,C15&gt;0,C14&gt;0),1,0)</formula>
    </cfRule>
    <cfRule type="expression" dxfId="170" priority="23">
      <formula>IF(AND($C$14&gt;0,E32=10,C15&gt;0),1,0)</formula>
    </cfRule>
  </conditionalFormatting>
  <conditionalFormatting sqref="F32">
    <cfRule type="expression" dxfId="169" priority="9">
      <formula>IF(AND(C14&gt;0,C15&gt;0,F32=0),1,0)</formula>
    </cfRule>
    <cfRule type="expression" dxfId="168" priority="10">
      <formula>IF(AND(C14&gt;0,C15&gt;0,F32=10),1,0)</formula>
    </cfRule>
    <cfRule type="expression" dxfId="167" priority="12">
      <formula>IF(AND(C14=0,C15&gt;0,F32&lt;&gt;20),1,0)</formula>
    </cfRule>
    <cfRule type="expression" dxfId="166" priority="13">
      <formula>IF(AND(C14=0,C15&gt;0,F32=20),1,0)</formula>
    </cfRule>
  </conditionalFormatting>
  <conditionalFormatting sqref="G32">
    <cfRule type="expression" dxfId="165" priority="5">
      <formula>IF(AND(C14&gt;0,C15&gt;0,G32&lt;&gt;10),1,0)</formula>
    </cfRule>
    <cfRule type="expression" dxfId="164" priority="6">
      <formula>IF(AND(C14&gt;0,C15&gt;0,G32=10),1,0)</formula>
    </cfRule>
    <cfRule type="expression" dxfId="163" priority="7">
      <formula>IF(AND(C14=0,C15&gt;0,G32&lt;&gt;50),1,0)</formula>
    </cfRule>
    <cfRule type="expression" dxfId="162" priority="8">
      <formula>IF(AND(C14=0,C15&gt;0,G32=50),1,0)</formula>
    </cfRule>
  </conditionalFormatting>
  <dataValidations count="5">
    <dataValidation type="custom" showInputMessage="1" showErrorMessage="1" error="Check Number of Theory and Lab CLOs" sqref="E24" xr:uid="{58CB6D41-CC00-454D-8613-7156DD167673}">
      <formula1>IF(C15=0,E24=20,E24=10)</formula1>
    </dataValidation>
    <dataValidation type="custom" showInputMessage="1" showErrorMessage="1" error="No Lab CLOs are defined for this Course. Kindly Check Cell C15." sqref="B29:E31" xr:uid="{2E743047-A1DB-4E0A-8D00-563DA6E174F5}">
      <formula1>$C$15&lt;&gt;0</formula1>
    </dataValidation>
    <dataValidation type="custom" showInputMessage="1" showErrorMessage="1" error="No Theory CLOs Defined for this Course, Kindly Check Cell C14" sqref="B20:G23" xr:uid="{8FFC3E09-B337-4BEA-9093-220F6F381734}">
      <formula1>$C$14&lt;&gt;0</formula1>
    </dataValidation>
    <dataValidation type="custom" showInputMessage="1" showErrorMessage="1" error="This is only active for Lab Only Course with no Theory CLO Defined" sqref="F29:F31" xr:uid="{F671D0D6-BB5F-4BF2-98AD-5AFF00218CD5}">
      <formula1>AND($C$15&lt;&gt;0,$C$14=0)</formula1>
    </dataValidation>
    <dataValidation type="custom" showInputMessage="1" showErrorMessage="1" error="No Lab CLOs defined for this Course. Kindly Check Cell C15" sqref="G29:G31" xr:uid="{7493C64E-C010-4A49-9E85-2A0BE305187D}">
      <formula1>$C$15&lt;&gt;0</formula1>
    </dataValidation>
  </dataValidations>
  <pageMargins left="0.7" right="0.7" top="0.75" bottom="0.75" header="0.3" footer="0.3"/>
  <pageSetup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95250</xdr:colOff>
                <xdr:row>10</xdr:row>
                <xdr:rowOff>190500</xdr:rowOff>
              </from>
              <to>
                <xdr:col>6</xdr:col>
                <xdr:colOff>419100</xdr:colOff>
                <xdr:row>12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JA1001"/>
  <sheetViews>
    <sheetView tabSelected="1" topLeftCell="AD1" zoomScale="86" zoomScaleNormal="86" workbookViewId="0">
      <selection activeCell="A1001" sqref="A1001"/>
    </sheetView>
  </sheetViews>
  <sheetFormatPr defaultColWidth="9" defaultRowHeight="15" outlineLevelRow="1" x14ac:dyDescent="0.25"/>
  <cols>
    <col min="1" max="1" width="11.85546875" style="68" customWidth="1"/>
    <col min="2" max="2" width="13.7109375" style="68" customWidth="1"/>
    <col min="3" max="3" width="35.7109375" style="67" customWidth="1"/>
    <col min="4" max="11" width="7.5703125" style="69" customWidth="1"/>
    <col min="12" max="12" width="12.85546875" style="68" customWidth="1"/>
    <col min="13" max="20" width="6.85546875" style="68" customWidth="1"/>
    <col min="21" max="21" width="13.42578125" style="68" customWidth="1"/>
    <col min="22" max="23" width="9.42578125" style="68" customWidth="1"/>
    <col min="24" max="25" width="10.7109375" style="68" customWidth="1"/>
    <col min="26" max="27" width="9.7109375" style="68" customWidth="1"/>
    <col min="28" max="29" width="11.7109375" style="68" customWidth="1"/>
    <col min="30" max="30" width="12.5703125" style="68" customWidth="1"/>
    <col min="31" max="32" width="10.5703125" style="68" customWidth="1"/>
    <col min="33" max="36" width="10.85546875" style="68" customWidth="1"/>
    <col min="37" max="41" width="13.42578125" style="68" customWidth="1"/>
    <col min="42" max="42" width="11.7109375" style="68" customWidth="1"/>
    <col min="43" max="44" width="13.42578125" style="68" customWidth="1"/>
    <col min="45" max="48" width="11.7109375" style="68" customWidth="1"/>
    <col min="49" max="50" width="10.85546875" style="68" customWidth="1"/>
    <col min="51" max="51" width="13.42578125" style="68" customWidth="1"/>
    <col min="52" max="52" width="18.85546875" style="68" customWidth="1"/>
    <col min="53" max="53" width="17.42578125" style="68" customWidth="1"/>
    <col min="54" max="261" width="9.140625" style="67" customWidth="1"/>
  </cols>
  <sheetData>
    <row r="1" spans="1:261" ht="20.100000000000001" customHeight="1" x14ac:dyDescent="0.25">
      <c r="A1" s="261" t="str">
        <f>Outline!A8</f>
        <v>Course Title: Signals And Systems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1"/>
      <c r="V1" s="261"/>
      <c r="W1" s="261"/>
      <c r="X1" s="261"/>
      <c r="Y1" s="261"/>
      <c r="Z1" s="261"/>
      <c r="AA1" s="261"/>
      <c r="AB1" s="261"/>
      <c r="AC1" s="261"/>
      <c r="AD1" s="261"/>
      <c r="AE1" s="261"/>
      <c r="AF1" s="261"/>
      <c r="AG1" s="261"/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/>
      <c r="AS1" s="261"/>
      <c r="AT1" s="261"/>
      <c r="AU1" s="261"/>
      <c r="AV1" s="261"/>
      <c r="AW1" s="261"/>
      <c r="AX1" s="261"/>
      <c r="AY1" s="261"/>
      <c r="AZ1" s="261"/>
      <c r="BA1" s="261"/>
      <c r="IX1"/>
      <c r="IY1"/>
      <c r="IZ1"/>
      <c r="JA1"/>
    </row>
    <row r="2" spans="1:261" ht="20.100000000000001" customHeight="1" x14ac:dyDescent="0.25">
      <c r="A2" s="262" t="s">
        <v>156</v>
      </c>
      <c r="B2" s="262"/>
      <c r="C2" s="78" t="str">
        <f>Outline!A5</f>
        <v>B.E (CSE) 4th Semester</v>
      </c>
      <c r="D2" s="95" t="s">
        <v>155</v>
      </c>
      <c r="E2" s="95" t="str">
        <f>Outline!A3</f>
        <v>COMPUTER SYSTEMS ENGINEERING AND SCIENCES DEPARTMENT</v>
      </c>
      <c r="F2" s="95"/>
      <c r="G2" s="95"/>
      <c r="H2" s="95"/>
      <c r="I2" s="95"/>
      <c r="J2" s="78"/>
      <c r="K2" s="100"/>
      <c r="L2" s="78"/>
      <c r="M2" s="78"/>
      <c r="N2" s="100"/>
      <c r="O2" s="78"/>
      <c r="P2" s="100"/>
      <c r="Q2" s="78"/>
      <c r="R2" s="100"/>
      <c r="S2" s="78" t="str">
        <f>Outline!A7</f>
        <v>Session: Spring 2020</v>
      </c>
      <c r="T2" s="100"/>
      <c r="U2" s="78"/>
      <c r="V2" s="78"/>
      <c r="W2" s="100"/>
      <c r="X2" s="78"/>
      <c r="Y2" s="100"/>
      <c r="Z2" s="78" t="str">
        <f>Outline!A11</f>
        <v>Course Teacher:  Dr Wazir Muhammad</v>
      </c>
      <c r="AA2" s="100"/>
      <c r="AB2" s="96"/>
      <c r="AC2" s="100"/>
      <c r="AD2" s="78"/>
      <c r="AE2" s="96" t="s">
        <v>157</v>
      </c>
      <c r="AF2" s="100">
        <f>Outline!B6</f>
        <v>2016</v>
      </c>
      <c r="AG2" s="98"/>
      <c r="AH2" s="100"/>
      <c r="AI2" s="98"/>
      <c r="AJ2" s="100"/>
      <c r="AK2" s="96"/>
      <c r="AL2" s="100"/>
      <c r="AM2" s="100"/>
      <c r="AN2" s="100"/>
      <c r="AO2" s="100"/>
      <c r="AP2" s="100"/>
      <c r="AQ2" s="187"/>
      <c r="AR2" s="100"/>
      <c r="AS2" s="98"/>
      <c r="AT2" s="100"/>
      <c r="AU2" s="98"/>
      <c r="AV2" s="100"/>
      <c r="AW2" s="98"/>
      <c r="AX2" s="100"/>
      <c r="AY2" s="98"/>
      <c r="AZ2" s="78"/>
      <c r="BA2" s="78"/>
      <c r="IX2"/>
      <c r="IY2"/>
      <c r="IZ2"/>
      <c r="JA2"/>
    </row>
    <row r="3" spans="1:261" s="70" customFormat="1" ht="20.100000000000001" customHeight="1" thickBot="1" x14ac:dyDescent="0.3">
      <c r="A3" s="71"/>
      <c r="B3" s="71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</row>
    <row r="4" spans="1:261" ht="20.100000000000001" customHeight="1" thickBot="1" x14ac:dyDescent="0.3">
      <c r="A4" s="259" t="s">
        <v>108</v>
      </c>
      <c r="B4" s="259" t="s">
        <v>101</v>
      </c>
      <c r="C4" s="266" t="s">
        <v>2</v>
      </c>
      <c r="D4" s="259" t="s">
        <v>129</v>
      </c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5" t="s">
        <v>174</v>
      </c>
      <c r="W4" s="256"/>
      <c r="X4" s="256"/>
      <c r="Y4" s="256"/>
      <c r="Z4" s="256"/>
      <c r="AA4" s="256"/>
      <c r="AB4" s="256"/>
      <c r="AC4" s="256"/>
      <c r="AD4" s="256"/>
      <c r="AE4" s="246" t="s">
        <v>131</v>
      </c>
      <c r="AF4" s="247"/>
      <c r="AG4" s="247"/>
      <c r="AH4" s="247"/>
      <c r="AI4" s="247"/>
      <c r="AJ4" s="247"/>
      <c r="AK4" s="248"/>
      <c r="AL4" s="252" t="s">
        <v>177</v>
      </c>
      <c r="AM4" s="253"/>
      <c r="AN4" s="253"/>
      <c r="AO4" s="253"/>
      <c r="AP4" s="253"/>
      <c r="AQ4" s="253"/>
      <c r="AR4" s="254"/>
      <c r="AS4" s="269" t="s">
        <v>130</v>
      </c>
      <c r="AT4" s="270"/>
      <c r="AU4" s="270"/>
      <c r="AV4" s="270"/>
      <c r="AW4" s="270"/>
      <c r="AX4" s="270"/>
      <c r="AY4" s="270"/>
      <c r="AZ4" s="249" t="s">
        <v>159</v>
      </c>
      <c r="BA4" s="271" t="s">
        <v>150</v>
      </c>
      <c r="IX4"/>
      <c r="IY4"/>
      <c r="IZ4"/>
      <c r="JA4"/>
    </row>
    <row r="5" spans="1:261" ht="20.100000000000001" customHeight="1" x14ac:dyDescent="0.25">
      <c r="A5" s="259"/>
      <c r="B5" s="259"/>
      <c r="C5" s="267"/>
      <c r="D5" s="257" t="s">
        <v>100</v>
      </c>
      <c r="E5" s="257"/>
      <c r="F5" s="258"/>
      <c r="G5" s="258"/>
      <c r="H5" s="258"/>
      <c r="I5" s="258"/>
      <c r="J5" s="258"/>
      <c r="K5" s="258"/>
      <c r="L5" s="258"/>
      <c r="M5" s="263" t="s">
        <v>99</v>
      </c>
      <c r="N5" s="263"/>
      <c r="O5" s="263"/>
      <c r="P5" s="263"/>
      <c r="Q5" s="263"/>
      <c r="R5" s="263"/>
      <c r="S5" s="263"/>
      <c r="T5" s="263"/>
      <c r="U5" s="263"/>
      <c r="V5" s="264"/>
      <c r="W5" s="264"/>
      <c r="X5" s="264"/>
      <c r="Y5" s="264"/>
      <c r="Z5" s="264"/>
      <c r="AA5" s="264"/>
      <c r="AB5" s="264"/>
      <c r="AC5" s="264"/>
      <c r="AD5" s="264"/>
      <c r="AE5" s="242" t="s">
        <v>136</v>
      </c>
      <c r="AF5" s="243"/>
      <c r="AG5" s="242" t="s">
        <v>136</v>
      </c>
      <c r="AH5" s="243"/>
      <c r="AI5" s="242" t="s">
        <v>136</v>
      </c>
      <c r="AJ5" s="243"/>
      <c r="AK5" s="240" t="s">
        <v>107</v>
      </c>
      <c r="AL5" s="242" t="s">
        <v>136</v>
      </c>
      <c r="AM5" s="243"/>
      <c r="AN5" s="242" t="s">
        <v>136</v>
      </c>
      <c r="AO5" s="243"/>
      <c r="AP5" s="242" t="s">
        <v>136</v>
      </c>
      <c r="AQ5" s="243"/>
      <c r="AR5" s="240" t="s">
        <v>178</v>
      </c>
      <c r="AS5" s="239"/>
      <c r="AT5" s="239"/>
      <c r="AU5" s="239"/>
      <c r="AV5" s="239"/>
      <c r="AW5" s="239"/>
      <c r="AX5" s="239"/>
      <c r="AY5" s="147"/>
      <c r="AZ5" s="249"/>
      <c r="BA5" s="271"/>
      <c r="IX5"/>
      <c r="IY5"/>
      <c r="IZ5"/>
      <c r="JA5"/>
    </row>
    <row r="6" spans="1:261" ht="20.100000000000001" customHeight="1" x14ac:dyDescent="0.25">
      <c r="A6" s="259"/>
      <c r="B6" s="259"/>
      <c r="C6" s="267"/>
      <c r="D6" s="260" t="s">
        <v>136</v>
      </c>
      <c r="E6" s="260"/>
      <c r="F6" s="260" t="s">
        <v>136</v>
      </c>
      <c r="G6" s="260"/>
      <c r="H6" s="260" t="s">
        <v>136</v>
      </c>
      <c r="I6" s="260"/>
      <c r="J6" s="260" t="s">
        <v>136</v>
      </c>
      <c r="K6" s="260"/>
      <c r="L6" s="260" t="s">
        <v>100</v>
      </c>
      <c r="M6" s="250" t="s">
        <v>136</v>
      </c>
      <c r="N6" s="250"/>
      <c r="O6" s="250" t="s">
        <v>136</v>
      </c>
      <c r="P6" s="250"/>
      <c r="Q6" s="250" t="s">
        <v>142</v>
      </c>
      <c r="R6" s="250"/>
      <c r="S6" s="250" t="s">
        <v>136</v>
      </c>
      <c r="T6" s="250"/>
      <c r="U6" s="250" t="s">
        <v>99</v>
      </c>
      <c r="V6" s="251" t="s">
        <v>136</v>
      </c>
      <c r="W6" s="251"/>
      <c r="X6" s="251" t="s">
        <v>136</v>
      </c>
      <c r="Y6" s="251"/>
      <c r="Z6" s="251" t="s">
        <v>136</v>
      </c>
      <c r="AA6" s="251"/>
      <c r="AB6" s="251" t="s">
        <v>136</v>
      </c>
      <c r="AC6" s="251"/>
      <c r="AD6" s="265" t="s">
        <v>0</v>
      </c>
      <c r="AE6" s="244"/>
      <c r="AF6" s="245"/>
      <c r="AG6" s="244"/>
      <c r="AH6" s="245"/>
      <c r="AI6" s="244"/>
      <c r="AJ6" s="245"/>
      <c r="AK6" s="241"/>
      <c r="AL6" s="244"/>
      <c r="AM6" s="245"/>
      <c r="AN6" s="244"/>
      <c r="AO6" s="245"/>
      <c r="AP6" s="244"/>
      <c r="AQ6" s="245"/>
      <c r="AR6" s="241"/>
      <c r="AS6" s="238" t="s">
        <v>136</v>
      </c>
      <c r="AT6" s="238"/>
      <c r="AU6" s="238" t="s">
        <v>136</v>
      </c>
      <c r="AV6" s="238"/>
      <c r="AW6" s="238" t="s">
        <v>136</v>
      </c>
      <c r="AX6" s="238"/>
      <c r="AY6" s="148" t="s">
        <v>107</v>
      </c>
      <c r="AZ6" s="249"/>
      <c r="BA6" s="271"/>
      <c r="IX6"/>
      <c r="IY6"/>
      <c r="IZ6"/>
      <c r="JA6"/>
    </row>
    <row r="7" spans="1:261" ht="20.100000000000001" customHeight="1" thickBot="1" x14ac:dyDescent="0.3">
      <c r="A7" s="259"/>
      <c r="B7" s="259"/>
      <c r="C7" s="267"/>
      <c r="D7" s="169">
        <f>Outline!$B$20</f>
        <v>1</v>
      </c>
      <c r="E7" s="131" t="s">
        <v>151</v>
      </c>
      <c r="F7" s="131">
        <f>Outline!$B$21</f>
        <v>2</v>
      </c>
      <c r="G7" s="131" t="s">
        <v>151</v>
      </c>
      <c r="H7" s="131">
        <f>Outline!$B$22</f>
        <v>3</v>
      </c>
      <c r="I7" s="131" t="s">
        <v>151</v>
      </c>
      <c r="J7" s="131">
        <f>Outline!$B$23</f>
        <v>0</v>
      </c>
      <c r="K7" s="131" t="s">
        <v>151</v>
      </c>
      <c r="L7" s="260"/>
      <c r="M7" s="132">
        <f>Outline!$B$20</f>
        <v>1</v>
      </c>
      <c r="N7" s="132" t="s">
        <v>151</v>
      </c>
      <c r="O7" s="132">
        <f>Outline!$B$21</f>
        <v>2</v>
      </c>
      <c r="P7" s="132" t="s">
        <v>151</v>
      </c>
      <c r="Q7" s="132">
        <f>Outline!$B$22</f>
        <v>3</v>
      </c>
      <c r="R7" s="132" t="s">
        <v>151</v>
      </c>
      <c r="S7" s="132">
        <f>Outline!$B$23</f>
        <v>0</v>
      </c>
      <c r="T7" s="132" t="s">
        <v>151</v>
      </c>
      <c r="U7" s="250"/>
      <c r="V7" s="136">
        <f>Outline!$B$20</f>
        <v>1</v>
      </c>
      <c r="W7" s="136" t="s">
        <v>151</v>
      </c>
      <c r="X7" s="136">
        <f>Outline!$B$21</f>
        <v>2</v>
      </c>
      <c r="Y7" s="136" t="s">
        <v>151</v>
      </c>
      <c r="Z7" s="136">
        <f>Outline!$B$22</f>
        <v>3</v>
      </c>
      <c r="AA7" s="136" t="s">
        <v>151</v>
      </c>
      <c r="AB7" s="136">
        <f>Outline!$B$23</f>
        <v>0</v>
      </c>
      <c r="AC7" s="136" t="s">
        <v>151</v>
      </c>
      <c r="AD7" s="265"/>
      <c r="AE7" s="184">
        <f>Outline!$B$29</f>
        <v>4</v>
      </c>
      <c r="AF7" s="184" t="s">
        <v>151</v>
      </c>
      <c r="AG7" s="184">
        <f>Outline!$B$30</f>
        <v>0</v>
      </c>
      <c r="AH7" s="184" t="s">
        <v>151</v>
      </c>
      <c r="AI7" s="184">
        <f>Outline!$B$31</f>
        <v>0</v>
      </c>
      <c r="AJ7" s="184" t="s">
        <v>151</v>
      </c>
      <c r="AK7" s="183" t="s">
        <v>0</v>
      </c>
      <c r="AL7" s="183">
        <f>Outline!$B$29</f>
        <v>4</v>
      </c>
      <c r="AM7" s="183" t="s">
        <v>151</v>
      </c>
      <c r="AN7" s="183">
        <f>Outline!$B$30</f>
        <v>0</v>
      </c>
      <c r="AO7" s="183" t="s">
        <v>151</v>
      </c>
      <c r="AP7" s="183">
        <f>Outline!$B$31</f>
        <v>0</v>
      </c>
      <c r="AQ7" s="183" t="s">
        <v>152</v>
      </c>
      <c r="AR7" s="183" t="s">
        <v>0</v>
      </c>
      <c r="AS7" s="148">
        <f>Outline!$B$29</f>
        <v>4</v>
      </c>
      <c r="AT7" s="148" t="s">
        <v>151</v>
      </c>
      <c r="AU7" s="148">
        <f>Outline!$B$30</f>
        <v>0</v>
      </c>
      <c r="AV7" s="148" t="s">
        <v>151</v>
      </c>
      <c r="AW7" s="148">
        <f>Outline!$B$31</f>
        <v>0</v>
      </c>
      <c r="AX7" s="148" t="s">
        <v>151</v>
      </c>
      <c r="AY7" s="148" t="s">
        <v>0</v>
      </c>
      <c r="AZ7" s="249"/>
      <c r="BA7" s="271"/>
      <c r="IX7"/>
      <c r="IY7"/>
      <c r="IZ7"/>
      <c r="JA7"/>
    </row>
    <row r="8" spans="1:261" ht="20.100000000000001" customHeight="1" thickBot="1" x14ac:dyDescent="0.3">
      <c r="A8" s="259"/>
      <c r="B8" s="259"/>
      <c r="C8" s="268"/>
      <c r="D8" s="171">
        <f>Outline!F20</f>
        <v>12</v>
      </c>
      <c r="E8" s="130" t="s">
        <v>153</v>
      </c>
      <c r="F8" s="131">
        <f>Outline!F21</f>
        <v>2</v>
      </c>
      <c r="G8" s="131" t="s">
        <v>153</v>
      </c>
      <c r="H8" s="131">
        <f>Outline!F22</f>
        <v>6</v>
      </c>
      <c r="I8" s="131" t="s">
        <v>153</v>
      </c>
      <c r="J8" s="131">
        <f>Outline!F23</f>
        <v>0</v>
      </c>
      <c r="K8" s="131" t="s">
        <v>153</v>
      </c>
      <c r="L8" s="163">
        <f t="shared" ref="L8:L39" si="0">SUM(D8,F8,H8,J8)</f>
        <v>20</v>
      </c>
      <c r="M8" s="137">
        <f>Outline!G20</f>
        <v>12</v>
      </c>
      <c r="N8" s="137" t="s">
        <v>153</v>
      </c>
      <c r="O8" s="137">
        <f>Outline!G21</f>
        <v>23</v>
      </c>
      <c r="P8" s="137" t="s">
        <v>153</v>
      </c>
      <c r="Q8" s="137">
        <f>Outline!G22</f>
        <v>15</v>
      </c>
      <c r="R8" s="137" t="s">
        <v>153</v>
      </c>
      <c r="S8" s="137">
        <f>Outline!G23</f>
        <v>0</v>
      </c>
      <c r="T8" s="137" t="s">
        <v>153</v>
      </c>
      <c r="U8" s="137">
        <f>SUM(M8,O8,Q8,S8)</f>
        <v>50</v>
      </c>
      <c r="V8" s="129">
        <f>Outline!E20</f>
        <v>3</v>
      </c>
      <c r="W8" s="129" t="s">
        <v>153</v>
      </c>
      <c r="X8" s="129">
        <f>Outline!E21</f>
        <v>4</v>
      </c>
      <c r="Y8" s="129" t="s">
        <v>153</v>
      </c>
      <c r="Z8" s="129">
        <f>Outline!E22</f>
        <v>3</v>
      </c>
      <c r="AA8" s="129" t="s">
        <v>153</v>
      </c>
      <c r="AB8" s="129">
        <f>Outline!E23</f>
        <v>0</v>
      </c>
      <c r="AC8" s="129" t="s">
        <v>153</v>
      </c>
      <c r="AD8" s="138">
        <f>SUM(V8:AB8)</f>
        <v>10</v>
      </c>
      <c r="AE8" s="186">
        <f>Outline!E29</f>
        <v>10</v>
      </c>
      <c r="AF8" s="185" t="s">
        <v>153</v>
      </c>
      <c r="AG8" s="186">
        <f>Outline!E30</f>
        <v>0</v>
      </c>
      <c r="AH8" s="185" t="s">
        <v>153</v>
      </c>
      <c r="AI8" s="184">
        <f>Outline!E31</f>
        <v>0</v>
      </c>
      <c r="AJ8" s="184" t="s">
        <v>153</v>
      </c>
      <c r="AK8" s="184">
        <f>SUM(AE8:AI8)</f>
        <v>10</v>
      </c>
      <c r="AL8" s="184">
        <f>Outline!F29</f>
        <v>0</v>
      </c>
      <c r="AM8" s="184" t="s">
        <v>153</v>
      </c>
      <c r="AN8" s="184">
        <f>Outline!F30</f>
        <v>0</v>
      </c>
      <c r="AO8" s="184" t="s">
        <v>153</v>
      </c>
      <c r="AP8" s="184">
        <f>Outline!F31</f>
        <v>0</v>
      </c>
      <c r="AQ8" s="184" t="s">
        <v>153</v>
      </c>
      <c r="AR8" s="184">
        <f>SUM(AL8,AN8,AP8)</f>
        <v>0</v>
      </c>
      <c r="AS8" s="112">
        <f>Outline!G29</f>
        <v>10</v>
      </c>
      <c r="AT8" s="112" t="s">
        <v>153</v>
      </c>
      <c r="AU8" s="112">
        <f>Outline!G30</f>
        <v>0</v>
      </c>
      <c r="AV8" s="112" t="s">
        <v>153</v>
      </c>
      <c r="AW8" s="112">
        <f>Outline!G31</f>
        <v>0</v>
      </c>
      <c r="AX8" s="112" t="s">
        <v>153</v>
      </c>
      <c r="AY8" s="112">
        <f>SUM(AS8,AU8,AW8)</f>
        <v>10</v>
      </c>
      <c r="AZ8" s="139">
        <f>SUM(AK8,AR8,AY8)</f>
        <v>20</v>
      </c>
      <c r="BA8" s="173">
        <f>SUM(L8,U8,AD8,AK8,AR8,AY8)</f>
        <v>100</v>
      </c>
      <c r="IX8"/>
      <c r="IY8"/>
      <c r="IZ8"/>
      <c r="JA8"/>
    </row>
    <row r="9" spans="1:261" ht="20.100000000000001" customHeight="1" outlineLevel="1" thickBot="1" x14ac:dyDescent="0.3">
      <c r="A9" s="151">
        <v>1</v>
      </c>
      <c r="B9" s="153" t="s">
        <v>190</v>
      </c>
      <c r="C9" s="158"/>
      <c r="D9" s="170">
        <v>11</v>
      </c>
      <c r="E9" s="165">
        <f t="shared" ref="E9:E72" si="1">IF($D$8=0,"NA",D9/$D$8)</f>
        <v>0.91666666666666663</v>
      </c>
      <c r="F9" s="151">
        <v>2</v>
      </c>
      <c r="G9" s="165">
        <f>IF($F$8=0,"NA",F9/$F$8)</f>
        <v>1</v>
      </c>
      <c r="H9" s="151">
        <v>4</v>
      </c>
      <c r="I9" s="165">
        <f>IF($H$8=0,"NA",H9/$H$8)</f>
        <v>0.66666666666666663</v>
      </c>
      <c r="J9" s="151"/>
      <c r="K9" s="165" t="str">
        <f>IF($J$8=0,"NA",J9/$J$8)</f>
        <v>NA</v>
      </c>
      <c r="L9" s="141">
        <f t="shared" si="0"/>
        <v>17</v>
      </c>
      <c r="M9" s="152">
        <v>9</v>
      </c>
      <c r="N9" s="166">
        <f>IF($M$8=0,"NA",M9/$M$8)</f>
        <v>0.75</v>
      </c>
      <c r="O9" s="152">
        <v>8</v>
      </c>
      <c r="P9" s="166">
        <f>IF($O$8=0,"NA",O9/$O$8)</f>
        <v>0.34782608695652173</v>
      </c>
      <c r="Q9" s="152">
        <v>7</v>
      </c>
      <c r="R9" s="166">
        <f>IF($Q$8=0,"NA",Q9/$Q$8)</f>
        <v>0.46666666666666667</v>
      </c>
      <c r="S9" s="152"/>
      <c r="T9" s="166" t="str">
        <f>IF($S$8=0,"NA",S9/$S$8)</f>
        <v>NA</v>
      </c>
      <c r="U9" s="142">
        <f t="shared" ref="U9:U72" si="2">SUM(M9,O9,Q9,S9)</f>
        <v>24</v>
      </c>
      <c r="V9" s="151">
        <v>2</v>
      </c>
      <c r="W9" s="167">
        <f>IF($V$8=0,"NA",V9/$V$8)</f>
        <v>0.66666666666666663</v>
      </c>
      <c r="X9" s="151">
        <v>3</v>
      </c>
      <c r="Y9" s="167">
        <f>IF($X$8=0,"NA",X9/$X$8)</f>
        <v>0.75</v>
      </c>
      <c r="Z9" s="151">
        <v>2</v>
      </c>
      <c r="AA9" s="167">
        <f>IF($Z$8=0,"NA",Z9/$Z$8)</f>
        <v>0.66666666666666663</v>
      </c>
      <c r="AB9" s="151"/>
      <c r="AC9" s="167" t="str">
        <f t="shared" ref="AC9:AC73" si="3">IF($AB$8=0,"NA",AB9/$AB$8)</f>
        <v>NA</v>
      </c>
      <c r="AD9" s="143">
        <f>SUM(V9,X9,Z9,AB9)</f>
        <v>7</v>
      </c>
      <c r="AE9" s="134">
        <v>10</v>
      </c>
      <c r="AF9" s="135">
        <f>IF($AE$8=0,"NA",AE9/$AE$8)</f>
        <v>1</v>
      </c>
      <c r="AG9" s="134"/>
      <c r="AH9" s="135" t="str">
        <f>IF($AG$8=0,"NA",AG9/$AG$8)</f>
        <v>NA</v>
      </c>
      <c r="AI9" s="134"/>
      <c r="AJ9" s="135" t="str">
        <f>IF($AI$8=0,"NA",AI9/$AI$8)</f>
        <v>NA</v>
      </c>
      <c r="AK9" s="133">
        <v>9</v>
      </c>
      <c r="AL9" s="133"/>
      <c r="AM9" s="182" t="str">
        <f>IF(AND($AL$7&lt;&gt;0,$AL$8&lt;&gt;0),AL9/$AL$8,"NA")</f>
        <v>NA</v>
      </c>
      <c r="AN9" s="133"/>
      <c r="AO9" s="182" t="str">
        <f>IF(AND($AN$7&lt;&gt;0,$AN$8&lt;&gt;0),AN9/$AN$8,"NA")</f>
        <v>NA</v>
      </c>
      <c r="AP9" s="133"/>
      <c r="AQ9" s="182" t="str">
        <f>IF(AND($AP$7&lt;&gt;0,$AP$8&lt;&gt;0),AP9/$AP$8,"NA")</f>
        <v>NA</v>
      </c>
      <c r="AR9" s="133">
        <f>SUM(AL9,AN9,AP9)</f>
        <v>0</v>
      </c>
      <c r="AS9" s="134">
        <v>10</v>
      </c>
      <c r="AT9" s="135">
        <f>IF($AS$8=0,"NA",AS9/$AS$8)</f>
        <v>1</v>
      </c>
      <c r="AU9" s="134"/>
      <c r="AV9" s="135" t="str">
        <f>IF($AU$8=0,"NA",AU9/$AU$8)</f>
        <v>NA</v>
      </c>
      <c r="AW9" s="134"/>
      <c r="AX9" s="135" t="str">
        <f>IF($AW$8=0,"NA",AW9/$AW$8)</f>
        <v>NA</v>
      </c>
      <c r="AY9" s="133">
        <f>SUM(AS9,AU9,AW9)</f>
        <v>10</v>
      </c>
      <c r="AZ9" s="168">
        <f>SUM(AK9,AR9,AY9)</f>
        <v>19</v>
      </c>
      <c r="BA9" s="173">
        <f>SUM(L9,U9,AD9,AK9,AR9,AY9)</f>
        <v>67</v>
      </c>
      <c r="IX9"/>
      <c r="IY9"/>
      <c r="IZ9"/>
      <c r="JA9"/>
    </row>
    <row r="10" spans="1:261" ht="20.100000000000001" customHeight="1" outlineLevel="1" thickBot="1" x14ac:dyDescent="0.3">
      <c r="A10" s="151">
        <f>IF((A9+1)&lt;=Outline!$E$12,A9+1,0)</f>
        <v>2</v>
      </c>
      <c r="B10" s="153" t="s">
        <v>188</v>
      </c>
      <c r="C10" s="158"/>
      <c r="D10" s="170">
        <v>12</v>
      </c>
      <c r="E10" s="165">
        <f>IF($D$8=0,"NA",D10/$D$8)</f>
        <v>1</v>
      </c>
      <c r="F10" s="151">
        <v>2</v>
      </c>
      <c r="G10" s="165">
        <f>IF($F$8=0,"NA",F10/$F$8)</f>
        <v>1</v>
      </c>
      <c r="H10" s="151">
        <v>4</v>
      </c>
      <c r="I10" s="165">
        <f>IF($H$8=0,"NA",H10/$H$8)</f>
        <v>0.66666666666666663</v>
      </c>
      <c r="J10" s="151"/>
      <c r="K10" s="165" t="str">
        <f t="shared" ref="K10:K73" si="4">IF($J$8=0,"NA",J10/$J$8)</f>
        <v>NA</v>
      </c>
      <c r="L10" s="141">
        <f t="shared" si="0"/>
        <v>18</v>
      </c>
      <c r="M10" s="152">
        <v>10</v>
      </c>
      <c r="N10" s="166">
        <f t="shared" ref="N10:N73" si="5">IF($M$8=0,"NA",M10/$M$8)</f>
        <v>0.83333333333333337</v>
      </c>
      <c r="O10" s="152">
        <v>16</v>
      </c>
      <c r="P10" s="166">
        <f t="shared" ref="P10:P73" si="6">IF($O$8=0,"NA",O10/$O$8)</f>
        <v>0.69565217391304346</v>
      </c>
      <c r="Q10" s="152">
        <v>10</v>
      </c>
      <c r="R10" s="166">
        <f t="shared" ref="R10:R73" si="7">IF($Q$8=0,"NA",Q10/$Q$8)</f>
        <v>0.66666666666666663</v>
      </c>
      <c r="S10" s="152"/>
      <c r="T10" s="166" t="str">
        <f t="shared" ref="T10:T73" si="8">IF($S$8=0,"NA",S10/$S$8)</f>
        <v>NA</v>
      </c>
      <c r="U10" s="142">
        <f t="shared" si="2"/>
        <v>36</v>
      </c>
      <c r="V10" s="151">
        <v>2</v>
      </c>
      <c r="W10" s="167">
        <f t="shared" ref="W10:W73" si="9">IF($V$8=0,"NA",V10/$V$8)</f>
        <v>0.66666666666666663</v>
      </c>
      <c r="X10" s="151">
        <v>3</v>
      </c>
      <c r="Y10" s="167">
        <f t="shared" ref="Y10:Y73" si="10">IF($X$8=0,"NA",X10/$X$8)</f>
        <v>0.75</v>
      </c>
      <c r="Z10" s="151">
        <v>2</v>
      </c>
      <c r="AA10" s="167">
        <f t="shared" ref="AA10:AA73" si="11">IF($Z$8=0,"NA",Z10/$Z$8)</f>
        <v>0.66666666666666663</v>
      </c>
      <c r="AB10" s="151"/>
      <c r="AC10" s="167" t="str">
        <f t="shared" si="3"/>
        <v>NA</v>
      </c>
      <c r="AD10" s="143">
        <v>8</v>
      </c>
      <c r="AE10" s="134">
        <v>10</v>
      </c>
      <c r="AF10" s="135">
        <f t="shared" ref="AF10:AF73" si="12">IF($AE$8=0,"NA",AE10/$AE$8)</f>
        <v>1</v>
      </c>
      <c r="AG10" s="134"/>
      <c r="AH10" s="135" t="str">
        <f t="shared" ref="AH10:AH73" si="13">IF($AG$8=0,"NA",AG10/$AG$8)</f>
        <v>NA</v>
      </c>
      <c r="AI10" s="134"/>
      <c r="AJ10" s="135" t="str">
        <f t="shared" ref="AJ10:AJ73" si="14">IF($AI$8=0,"NA",AI10/$AI$8)</f>
        <v>NA</v>
      </c>
      <c r="AK10" s="133">
        <f t="shared" ref="AK10:AK73" si="15">SUM(AE10,AG10,AI10)</f>
        <v>10</v>
      </c>
      <c r="AL10" s="133"/>
      <c r="AM10" s="182" t="str">
        <f t="shared" ref="AM10:AM73" si="16">IF(AND($AL$7&lt;&gt;0,$AL$8&lt;&gt;0),AL10/$AL$8,"NA")</f>
        <v>NA</v>
      </c>
      <c r="AN10" s="133"/>
      <c r="AO10" s="182" t="str">
        <f t="shared" ref="AO10:AO73" si="17">IF(AND($AN$7&lt;&gt;0,$AN$8&lt;&gt;0),AN10/$AN$8,"NA")</f>
        <v>NA</v>
      </c>
      <c r="AP10" s="133"/>
      <c r="AQ10" s="182" t="str">
        <f t="shared" ref="AQ10:AQ73" si="18">IF(AND($AP$7&lt;&gt;0,$AP$8&lt;&gt;0),AP10/$AP$8,"NA")</f>
        <v>NA</v>
      </c>
      <c r="AR10" s="133">
        <f t="shared" ref="AR10:AR73" si="19">SUM(AL10,AN10,AP10)</f>
        <v>0</v>
      </c>
      <c r="AS10" s="134">
        <v>8</v>
      </c>
      <c r="AT10" s="135">
        <f t="shared" ref="AT10:AT73" si="20">IF($AS$8=0,"NA",AS10/$AS$8)</f>
        <v>0.8</v>
      </c>
      <c r="AU10" s="134"/>
      <c r="AV10" s="135" t="str">
        <f t="shared" ref="AV10:AV73" si="21">IF($AU$8=0,"NA",AU10/$AU$8)</f>
        <v>NA</v>
      </c>
      <c r="AW10" s="134"/>
      <c r="AX10" s="135" t="str">
        <f t="shared" ref="AX10:AX73" si="22">IF($AW$8=0,"NA",AW10/$AW$8)</f>
        <v>NA</v>
      </c>
      <c r="AY10" s="133">
        <f t="shared" ref="AY10:AY73" si="23">SUM(AS10,AU10,AW10)</f>
        <v>8</v>
      </c>
      <c r="AZ10" s="168">
        <f t="shared" ref="AZ10:AZ73" si="24">SUM(AK10,AR10,AY10)</f>
        <v>18</v>
      </c>
      <c r="BA10" s="173">
        <f t="shared" ref="BA10:BA73" si="25">SUM(L10,U10,AD10,AK10,AR10,AY10)</f>
        <v>80</v>
      </c>
      <c r="IX10"/>
      <c r="IY10"/>
      <c r="IZ10"/>
      <c r="JA10"/>
    </row>
    <row r="11" spans="1:261" ht="20.100000000000001" customHeight="1" outlineLevel="1" thickBot="1" x14ac:dyDescent="0.3">
      <c r="A11" s="151">
        <f>IF((A10+1)&lt;=Outline!$E$12,A10+1,0)</f>
        <v>3</v>
      </c>
      <c r="B11" s="153" t="s">
        <v>191</v>
      </c>
      <c r="C11" s="159"/>
      <c r="D11" s="170">
        <v>10</v>
      </c>
      <c r="E11" s="165">
        <f t="shared" si="1"/>
        <v>0.83333333333333337</v>
      </c>
      <c r="F11" s="151">
        <v>2</v>
      </c>
      <c r="G11" s="165">
        <f t="shared" ref="G11:G73" si="26">IF($F$8=0,"NA",F11/$F$8)</f>
        <v>1</v>
      </c>
      <c r="H11" s="151">
        <v>4</v>
      </c>
      <c r="I11" s="165">
        <f t="shared" ref="I11:I73" si="27">IF($H$8=0,"NA",H11/$H$8)</f>
        <v>0.66666666666666663</v>
      </c>
      <c r="J11" s="151"/>
      <c r="K11" s="165" t="str">
        <f t="shared" si="4"/>
        <v>NA</v>
      </c>
      <c r="L11" s="141">
        <f t="shared" si="0"/>
        <v>16</v>
      </c>
      <c r="M11" s="152">
        <v>9</v>
      </c>
      <c r="N11" s="166">
        <f t="shared" si="5"/>
        <v>0.75</v>
      </c>
      <c r="O11" s="152">
        <v>17</v>
      </c>
      <c r="P11" s="166">
        <f t="shared" si="6"/>
        <v>0.73913043478260865</v>
      </c>
      <c r="Q11" s="152">
        <v>10</v>
      </c>
      <c r="R11" s="166">
        <f t="shared" si="7"/>
        <v>0.66666666666666663</v>
      </c>
      <c r="S11" s="152"/>
      <c r="T11" s="166" t="str">
        <f t="shared" si="8"/>
        <v>NA</v>
      </c>
      <c r="U11" s="142">
        <f t="shared" si="2"/>
        <v>36</v>
      </c>
      <c r="V11" s="151">
        <v>2</v>
      </c>
      <c r="W11" s="167">
        <f t="shared" si="9"/>
        <v>0.66666666666666663</v>
      </c>
      <c r="X11" s="151">
        <v>3</v>
      </c>
      <c r="Y11" s="167">
        <f t="shared" si="10"/>
        <v>0.75</v>
      </c>
      <c r="Z11" s="151">
        <v>2</v>
      </c>
      <c r="AA11" s="167">
        <f t="shared" si="11"/>
        <v>0.66666666666666663</v>
      </c>
      <c r="AB11" s="151"/>
      <c r="AC11" s="167" t="str">
        <f t="shared" si="3"/>
        <v>NA</v>
      </c>
      <c r="AD11" s="143">
        <f t="shared" ref="AD10:AD73" si="28">SUM(V11,X11,Z11,AB11)</f>
        <v>7</v>
      </c>
      <c r="AE11" s="134">
        <v>10</v>
      </c>
      <c r="AF11" s="135">
        <f t="shared" si="12"/>
        <v>1</v>
      </c>
      <c r="AG11" s="134"/>
      <c r="AH11" s="135" t="str">
        <f t="shared" si="13"/>
        <v>NA</v>
      </c>
      <c r="AI11" s="134"/>
      <c r="AJ11" s="135" t="str">
        <f t="shared" si="14"/>
        <v>NA</v>
      </c>
      <c r="AK11" s="133">
        <f t="shared" si="15"/>
        <v>10</v>
      </c>
      <c r="AL11" s="133"/>
      <c r="AM11" s="182" t="str">
        <f t="shared" si="16"/>
        <v>NA</v>
      </c>
      <c r="AN11" s="133"/>
      <c r="AO11" s="182" t="str">
        <f t="shared" si="17"/>
        <v>NA</v>
      </c>
      <c r="AP11" s="133"/>
      <c r="AQ11" s="182" t="str">
        <f t="shared" si="18"/>
        <v>NA</v>
      </c>
      <c r="AR11" s="133">
        <f t="shared" si="19"/>
        <v>0</v>
      </c>
      <c r="AS11" s="134">
        <v>10</v>
      </c>
      <c r="AT11" s="135">
        <f t="shared" si="20"/>
        <v>1</v>
      </c>
      <c r="AU11" s="134"/>
      <c r="AV11" s="135" t="str">
        <f t="shared" si="21"/>
        <v>NA</v>
      </c>
      <c r="AW11" s="134"/>
      <c r="AX11" s="135" t="str">
        <f t="shared" si="22"/>
        <v>NA</v>
      </c>
      <c r="AY11" s="133">
        <f t="shared" si="23"/>
        <v>10</v>
      </c>
      <c r="AZ11" s="168">
        <f t="shared" si="24"/>
        <v>20</v>
      </c>
      <c r="BA11" s="173">
        <f t="shared" si="25"/>
        <v>79</v>
      </c>
      <c r="IX11"/>
      <c r="IY11"/>
      <c r="IZ11"/>
      <c r="JA11"/>
    </row>
    <row r="12" spans="1:261" ht="20.100000000000001" customHeight="1" outlineLevel="1" thickBot="1" x14ac:dyDescent="0.3">
      <c r="A12" s="151">
        <f>IF((A11+1)&lt;=Outline!$E$12,A11+1,0)</f>
        <v>4</v>
      </c>
      <c r="B12" s="154" t="s">
        <v>192</v>
      </c>
      <c r="C12" s="159"/>
      <c r="D12" s="170">
        <v>3</v>
      </c>
      <c r="E12" s="165">
        <f t="shared" si="1"/>
        <v>0.25</v>
      </c>
      <c r="F12" s="151">
        <v>2</v>
      </c>
      <c r="G12" s="165">
        <f t="shared" si="26"/>
        <v>1</v>
      </c>
      <c r="H12" s="151">
        <v>5</v>
      </c>
      <c r="I12" s="165">
        <f t="shared" si="27"/>
        <v>0.83333333333333337</v>
      </c>
      <c r="J12" s="151"/>
      <c r="K12" s="165" t="str">
        <f t="shared" si="4"/>
        <v>NA</v>
      </c>
      <c r="L12" s="141">
        <f t="shared" si="0"/>
        <v>10</v>
      </c>
      <c r="M12" s="152">
        <v>6</v>
      </c>
      <c r="N12" s="166">
        <f t="shared" si="5"/>
        <v>0.5</v>
      </c>
      <c r="O12" s="152">
        <v>5</v>
      </c>
      <c r="P12" s="166">
        <f t="shared" si="6"/>
        <v>0.21739130434782608</v>
      </c>
      <c r="Q12" s="152">
        <v>4</v>
      </c>
      <c r="R12" s="166">
        <f t="shared" si="7"/>
        <v>0.26666666666666666</v>
      </c>
      <c r="S12" s="152"/>
      <c r="T12" s="166" t="str">
        <f t="shared" si="8"/>
        <v>NA</v>
      </c>
      <c r="U12" s="142">
        <f t="shared" si="2"/>
        <v>15</v>
      </c>
      <c r="V12" s="151">
        <v>2</v>
      </c>
      <c r="W12" s="167">
        <f t="shared" si="9"/>
        <v>0.66666666666666663</v>
      </c>
      <c r="X12" s="151">
        <v>2</v>
      </c>
      <c r="Y12" s="167">
        <f t="shared" si="10"/>
        <v>0.5</v>
      </c>
      <c r="Z12" s="151">
        <v>3</v>
      </c>
      <c r="AA12" s="167">
        <f t="shared" si="11"/>
        <v>1</v>
      </c>
      <c r="AB12" s="151"/>
      <c r="AC12" s="167" t="str">
        <f t="shared" si="3"/>
        <v>NA</v>
      </c>
      <c r="AD12" s="143">
        <f t="shared" si="28"/>
        <v>7</v>
      </c>
      <c r="AE12" s="134">
        <v>10</v>
      </c>
      <c r="AF12" s="135">
        <f t="shared" si="12"/>
        <v>1</v>
      </c>
      <c r="AG12" s="134"/>
      <c r="AH12" s="135" t="str">
        <f t="shared" si="13"/>
        <v>NA</v>
      </c>
      <c r="AI12" s="134"/>
      <c r="AJ12" s="135" t="str">
        <f t="shared" si="14"/>
        <v>NA</v>
      </c>
      <c r="AK12" s="133">
        <v>8</v>
      </c>
      <c r="AL12" s="133"/>
      <c r="AM12" s="182" t="str">
        <f t="shared" si="16"/>
        <v>NA</v>
      </c>
      <c r="AN12" s="133"/>
      <c r="AO12" s="182" t="str">
        <f t="shared" si="17"/>
        <v>NA</v>
      </c>
      <c r="AP12" s="133"/>
      <c r="AQ12" s="182" t="str">
        <f t="shared" si="18"/>
        <v>NA</v>
      </c>
      <c r="AR12" s="133">
        <f t="shared" si="19"/>
        <v>0</v>
      </c>
      <c r="AS12" s="134">
        <v>10</v>
      </c>
      <c r="AT12" s="135">
        <f t="shared" si="20"/>
        <v>1</v>
      </c>
      <c r="AU12" s="134"/>
      <c r="AV12" s="135" t="str">
        <f t="shared" si="21"/>
        <v>NA</v>
      </c>
      <c r="AW12" s="134"/>
      <c r="AX12" s="135" t="str">
        <f t="shared" si="22"/>
        <v>NA</v>
      </c>
      <c r="AY12" s="133">
        <f t="shared" si="23"/>
        <v>10</v>
      </c>
      <c r="AZ12" s="168">
        <f t="shared" si="24"/>
        <v>18</v>
      </c>
      <c r="BA12" s="173">
        <f t="shared" si="25"/>
        <v>50</v>
      </c>
      <c r="IX12"/>
      <c r="IY12"/>
      <c r="IZ12"/>
      <c r="JA12"/>
    </row>
    <row r="13" spans="1:261" ht="20.100000000000001" customHeight="1" outlineLevel="1" thickBot="1" x14ac:dyDescent="0.3">
      <c r="A13" s="151">
        <f>IF((A12+1)&lt;=Outline!$E$12,A12+1,0)</f>
        <v>5</v>
      </c>
      <c r="B13" s="153" t="s">
        <v>193</v>
      </c>
      <c r="C13" s="159"/>
      <c r="D13" s="170">
        <v>9</v>
      </c>
      <c r="E13" s="165">
        <f t="shared" si="1"/>
        <v>0.75</v>
      </c>
      <c r="F13" s="151">
        <v>1</v>
      </c>
      <c r="G13" s="165">
        <f t="shared" si="26"/>
        <v>0.5</v>
      </c>
      <c r="H13" s="151">
        <v>5</v>
      </c>
      <c r="I13" s="165">
        <f t="shared" si="27"/>
        <v>0.83333333333333337</v>
      </c>
      <c r="J13" s="151"/>
      <c r="K13" s="165" t="str">
        <f t="shared" si="4"/>
        <v>NA</v>
      </c>
      <c r="L13" s="141">
        <f t="shared" si="0"/>
        <v>15</v>
      </c>
      <c r="M13" s="152">
        <v>9</v>
      </c>
      <c r="N13" s="166">
        <f t="shared" si="5"/>
        <v>0.75</v>
      </c>
      <c r="O13" s="152">
        <v>13</v>
      </c>
      <c r="P13" s="166">
        <f t="shared" si="6"/>
        <v>0.56521739130434778</v>
      </c>
      <c r="Q13" s="152">
        <v>12</v>
      </c>
      <c r="R13" s="166">
        <f t="shared" si="7"/>
        <v>0.8</v>
      </c>
      <c r="S13" s="152"/>
      <c r="T13" s="166" t="str">
        <f t="shared" si="8"/>
        <v>NA</v>
      </c>
      <c r="U13" s="142">
        <f t="shared" si="2"/>
        <v>34</v>
      </c>
      <c r="V13" s="151">
        <v>2</v>
      </c>
      <c r="W13" s="167">
        <f t="shared" si="9"/>
        <v>0.66666666666666663</v>
      </c>
      <c r="X13" s="151">
        <v>3</v>
      </c>
      <c r="Y13" s="167">
        <f t="shared" si="10"/>
        <v>0.75</v>
      </c>
      <c r="Z13" s="151">
        <v>2</v>
      </c>
      <c r="AA13" s="167">
        <f t="shared" si="11"/>
        <v>0.66666666666666663</v>
      </c>
      <c r="AB13" s="151"/>
      <c r="AC13" s="167" t="str">
        <f t="shared" si="3"/>
        <v>NA</v>
      </c>
      <c r="AD13" s="143">
        <f t="shared" si="28"/>
        <v>7</v>
      </c>
      <c r="AE13" s="134">
        <v>10</v>
      </c>
      <c r="AF13" s="135">
        <f t="shared" si="12"/>
        <v>1</v>
      </c>
      <c r="AG13" s="134"/>
      <c r="AH13" s="135" t="str">
        <f t="shared" si="13"/>
        <v>NA</v>
      </c>
      <c r="AI13" s="134"/>
      <c r="AJ13" s="135" t="str">
        <f t="shared" si="14"/>
        <v>NA</v>
      </c>
      <c r="AK13" s="133">
        <f t="shared" si="15"/>
        <v>10</v>
      </c>
      <c r="AL13" s="133"/>
      <c r="AM13" s="182" t="str">
        <f t="shared" si="16"/>
        <v>NA</v>
      </c>
      <c r="AN13" s="133"/>
      <c r="AO13" s="182" t="str">
        <f t="shared" si="17"/>
        <v>NA</v>
      </c>
      <c r="AP13" s="133"/>
      <c r="AQ13" s="182" t="str">
        <f t="shared" si="18"/>
        <v>NA</v>
      </c>
      <c r="AR13" s="133">
        <f t="shared" si="19"/>
        <v>0</v>
      </c>
      <c r="AS13" s="134">
        <v>10</v>
      </c>
      <c r="AT13" s="135">
        <f t="shared" si="20"/>
        <v>1</v>
      </c>
      <c r="AU13" s="134"/>
      <c r="AV13" s="135" t="str">
        <f t="shared" si="21"/>
        <v>NA</v>
      </c>
      <c r="AW13" s="134"/>
      <c r="AX13" s="135" t="str">
        <f t="shared" si="22"/>
        <v>NA</v>
      </c>
      <c r="AY13" s="133">
        <f t="shared" si="23"/>
        <v>10</v>
      </c>
      <c r="AZ13" s="168">
        <f t="shared" si="24"/>
        <v>20</v>
      </c>
      <c r="BA13" s="173">
        <f t="shared" si="25"/>
        <v>76</v>
      </c>
      <c r="IX13"/>
      <c r="IY13"/>
      <c r="IZ13"/>
      <c r="JA13"/>
    </row>
    <row r="14" spans="1:261" ht="20.100000000000001" hidden="1" customHeight="1" outlineLevel="1" thickBot="1" x14ac:dyDescent="0.3">
      <c r="A14" s="151">
        <f>IF((A13+1)&lt;=Outline!$E$12,A13+1,0)</f>
        <v>6</v>
      </c>
      <c r="B14" s="154"/>
      <c r="C14" s="159"/>
      <c r="D14" s="170"/>
      <c r="E14" s="165">
        <f t="shared" si="1"/>
        <v>0</v>
      </c>
      <c r="F14" s="151"/>
      <c r="G14" s="165">
        <f t="shared" si="26"/>
        <v>0</v>
      </c>
      <c r="H14" s="151"/>
      <c r="I14" s="165">
        <f t="shared" si="27"/>
        <v>0</v>
      </c>
      <c r="J14" s="151"/>
      <c r="K14" s="165" t="str">
        <f t="shared" si="4"/>
        <v>NA</v>
      </c>
      <c r="L14" s="141">
        <f t="shared" si="0"/>
        <v>0</v>
      </c>
      <c r="M14" s="152"/>
      <c r="N14" s="166">
        <f t="shared" si="5"/>
        <v>0</v>
      </c>
      <c r="O14" s="152"/>
      <c r="P14" s="166">
        <f t="shared" si="6"/>
        <v>0</v>
      </c>
      <c r="Q14" s="152"/>
      <c r="R14" s="166">
        <f t="shared" si="7"/>
        <v>0</v>
      </c>
      <c r="S14" s="152"/>
      <c r="T14" s="166" t="str">
        <f t="shared" si="8"/>
        <v>NA</v>
      </c>
      <c r="U14" s="142">
        <f t="shared" si="2"/>
        <v>0</v>
      </c>
      <c r="V14" s="151"/>
      <c r="W14" s="167">
        <f t="shared" si="9"/>
        <v>0</v>
      </c>
      <c r="X14" s="151"/>
      <c r="Y14" s="167">
        <f t="shared" si="10"/>
        <v>0</v>
      </c>
      <c r="Z14" s="151"/>
      <c r="AA14" s="167">
        <f t="shared" si="11"/>
        <v>0</v>
      </c>
      <c r="AB14" s="151"/>
      <c r="AC14" s="167" t="str">
        <f t="shared" si="3"/>
        <v>NA</v>
      </c>
      <c r="AD14" s="143">
        <f t="shared" si="28"/>
        <v>0</v>
      </c>
      <c r="AE14" s="134"/>
      <c r="AF14" s="135">
        <f t="shared" si="12"/>
        <v>0</v>
      </c>
      <c r="AG14" s="134"/>
      <c r="AH14" s="135" t="str">
        <f t="shared" si="13"/>
        <v>NA</v>
      </c>
      <c r="AI14" s="134"/>
      <c r="AJ14" s="135" t="str">
        <f t="shared" si="14"/>
        <v>NA</v>
      </c>
      <c r="AK14" s="133">
        <f t="shared" si="15"/>
        <v>0</v>
      </c>
      <c r="AL14" s="133"/>
      <c r="AM14" s="182" t="str">
        <f t="shared" si="16"/>
        <v>NA</v>
      </c>
      <c r="AN14" s="133"/>
      <c r="AO14" s="182" t="str">
        <f t="shared" si="17"/>
        <v>NA</v>
      </c>
      <c r="AP14" s="133"/>
      <c r="AQ14" s="182" t="str">
        <f t="shared" si="18"/>
        <v>NA</v>
      </c>
      <c r="AR14" s="133">
        <f t="shared" si="19"/>
        <v>0</v>
      </c>
      <c r="AS14" s="134"/>
      <c r="AT14" s="135">
        <f t="shared" si="20"/>
        <v>0</v>
      </c>
      <c r="AU14" s="134"/>
      <c r="AV14" s="135" t="str">
        <f t="shared" si="21"/>
        <v>NA</v>
      </c>
      <c r="AW14" s="134"/>
      <c r="AX14" s="135" t="str">
        <f t="shared" si="22"/>
        <v>NA</v>
      </c>
      <c r="AY14" s="133">
        <f t="shared" si="23"/>
        <v>0</v>
      </c>
      <c r="AZ14" s="168">
        <f t="shared" si="24"/>
        <v>0</v>
      </c>
      <c r="BA14" s="173">
        <f t="shared" si="25"/>
        <v>0</v>
      </c>
      <c r="IX14"/>
      <c r="IY14"/>
      <c r="IZ14"/>
      <c r="JA14"/>
    </row>
    <row r="15" spans="1:261" ht="20.100000000000001" hidden="1" customHeight="1" outlineLevel="1" thickBot="1" x14ac:dyDescent="0.3">
      <c r="A15" s="151">
        <f>IF((A14+1)&lt;=Outline!$E$12,A14+1,0)</f>
        <v>7</v>
      </c>
      <c r="B15" s="153"/>
      <c r="C15" s="159"/>
      <c r="D15" s="170"/>
      <c r="E15" s="165">
        <f t="shared" si="1"/>
        <v>0</v>
      </c>
      <c r="F15" s="151"/>
      <c r="G15" s="165">
        <f t="shared" si="26"/>
        <v>0</v>
      </c>
      <c r="H15" s="151"/>
      <c r="I15" s="165">
        <f t="shared" si="27"/>
        <v>0</v>
      </c>
      <c r="J15" s="151"/>
      <c r="K15" s="165" t="str">
        <f t="shared" si="4"/>
        <v>NA</v>
      </c>
      <c r="L15" s="141">
        <f t="shared" si="0"/>
        <v>0</v>
      </c>
      <c r="M15" s="152"/>
      <c r="N15" s="166">
        <f t="shared" si="5"/>
        <v>0</v>
      </c>
      <c r="O15" s="152"/>
      <c r="P15" s="166">
        <f t="shared" si="6"/>
        <v>0</v>
      </c>
      <c r="Q15" s="152"/>
      <c r="R15" s="166">
        <f t="shared" si="7"/>
        <v>0</v>
      </c>
      <c r="S15" s="152"/>
      <c r="T15" s="166" t="str">
        <f t="shared" si="8"/>
        <v>NA</v>
      </c>
      <c r="U15" s="142">
        <f t="shared" si="2"/>
        <v>0</v>
      </c>
      <c r="V15" s="151"/>
      <c r="W15" s="167">
        <f t="shared" si="9"/>
        <v>0</v>
      </c>
      <c r="X15" s="151"/>
      <c r="Y15" s="167">
        <f t="shared" si="10"/>
        <v>0</v>
      </c>
      <c r="Z15" s="151"/>
      <c r="AA15" s="167">
        <f t="shared" si="11"/>
        <v>0</v>
      </c>
      <c r="AB15" s="151"/>
      <c r="AC15" s="167" t="str">
        <f t="shared" si="3"/>
        <v>NA</v>
      </c>
      <c r="AD15" s="143">
        <f t="shared" si="28"/>
        <v>0</v>
      </c>
      <c r="AE15" s="134"/>
      <c r="AF15" s="135">
        <f t="shared" si="12"/>
        <v>0</v>
      </c>
      <c r="AG15" s="134"/>
      <c r="AH15" s="135" t="str">
        <f t="shared" si="13"/>
        <v>NA</v>
      </c>
      <c r="AI15" s="134"/>
      <c r="AJ15" s="135" t="str">
        <f t="shared" si="14"/>
        <v>NA</v>
      </c>
      <c r="AK15" s="133">
        <f t="shared" si="15"/>
        <v>0</v>
      </c>
      <c r="AL15" s="133"/>
      <c r="AM15" s="182" t="str">
        <f t="shared" si="16"/>
        <v>NA</v>
      </c>
      <c r="AN15" s="133"/>
      <c r="AO15" s="182" t="str">
        <f t="shared" si="17"/>
        <v>NA</v>
      </c>
      <c r="AP15" s="133"/>
      <c r="AQ15" s="182" t="str">
        <f t="shared" si="18"/>
        <v>NA</v>
      </c>
      <c r="AR15" s="133">
        <f t="shared" si="19"/>
        <v>0</v>
      </c>
      <c r="AS15" s="134"/>
      <c r="AT15" s="135">
        <f t="shared" si="20"/>
        <v>0</v>
      </c>
      <c r="AU15" s="134"/>
      <c r="AV15" s="135" t="str">
        <f t="shared" si="21"/>
        <v>NA</v>
      </c>
      <c r="AW15" s="134"/>
      <c r="AX15" s="135" t="str">
        <f t="shared" si="22"/>
        <v>NA</v>
      </c>
      <c r="AY15" s="133">
        <f t="shared" si="23"/>
        <v>0</v>
      </c>
      <c r="AZ15" s="168">
        <f t="shared" si="24"/>
        <v>0</v>
      </c>
      <c r="BA15" s="173">
        <f t="shared" si="25"/>
        <v>0</v>
      </c>
      <c r="IX15"/>
      <c r="IY15"/>
      <c r="IZ15"/>
      <c r="JA15"/>
    </row>
    <row r="16" spans="1:261" ht="20.100000000000001" hidden="1" customHeight="1" outlineLevel="1" thickBot="1" x14ac:dyDescent="0.3">
      <c r="A16" s="151">
        <f>IF((A15+1)&lt;=Outline!$E$12,A15+1,0)</f>
        <v>8</v>
      </c>
      <c r="B16" s="154"/>
      <c r="C16" s="159"/>
      <c r="D16" s="170"/>
      <c r="E16" s="165">
        <f t="shared" si="1"/>
        <v>0</v>
      </c>
      <c r="F16" s="151"/>
      <c r="G16" s="165">
        <f t="shared" si="26"/>
        <v>0</v>
      </c>
      <c r="H16" s="151"/>
      <c r="I16" s="165">
        <f t="shared" si="27"/>
        <v>0</v>
      </c>
      <c r="J16" s="151"/>
      <c r="K16" s="165" t="str">
        <f t="shared" si="4"/>
        <v>NA</v>
      </c>
      <c r="L16" s="141">
        <f t="shared" si="0"/>
        <v>0</v>
      </c>
      <c r="M16" s="152"/>
      <c r="N16" s="166">
        <f t="shared" si="5"/>
        <v>0</v>
      </c>
      <c r="O16" s="152"/>
      <c r="P16" s="166">
        <f t="shared" si="6"/>
        <v>0</v>
      </c>
      <c r="Q16" s="152"/>
      <c r="R16" s="166">
        <f t="shared" si="7"/>
        <v>0</v>
      </c>
      <c r="S16" s="152"/>
      <c r="T16" s="166" t="str">
        <f t="shared" si="8"/>
        <v>NA</v>
      </c>
      <c r="U16" s="142">
        <f t="shared" si="2"/>
        <v>0</v>
      </c>
      <c r="V16" s="151"/>
      <c r="W16" s="167">
        <f t="shared" si="9"/>
        <v>0</v>
      </c>
      <c r="X16" s="151"/>
      <c r="Y16" s="167">
        <f t="shared" si="10"/>
        <v>0</v>
      </c>
      <c r="Z16" s="151"/>
      <c r="AA16" s="167">
        <f t="shared" si="11"/>
        <v>0</v>
      </c>
      <c r="AB16" s="151"/>
      <c r="AC16" s="167" t="str">
        <f t="shared" si="3"/>
        <v>NA</v>
      </c>
      <c r="AD16" s="143">
        <f t="shared" si="28"/>
        <v>0</v>
      </c>
      <c r="AE16" s="134"/>
      <c r="AF16" s="135">
        <f t="shared" si="12"/>
        <v>0</v>
      </c>
      <c r="AG16" s="134"/>
      <c r="AH16" s="135" t="str">
        <f t="shared" si="13"/>
        <v>NA</v>
      </c>
      <c r="AI16" s="134"/>
      <c r="AJ16" s="135" t="str">
        <f t="shared" si="14"/>
        <v>NA</v>
      </c>
      <c r="AK16" s="133">
        <f t="shared" si="15"/>
        <v>0</v>
      </c>
      <c r="AL16" s="133"/>
      <c r="AM16" s="182" t="str">
        <f t="shared" si="16"/>
        <v>NA</v>
      </c>
      <c r="AN16" s="133"/>
      <c r="AO16" s="182" t="str">
        <f t="shared" si="17"/>
        <v>NA</v>
      </c>
      <c r="AP16" s="133"/>
      <c r="AQ16" s="182" t="str">
        <f t="shared" si="18"/>
        <v>NA</v>
      </c>
      <c r="AR16" s="133">
        <f t="shared" si="19"/>
        <v>0</v>
      </c>
      <c r="AS16" s="134"/>
      <c r="AT16" s="135">
        <f t="shared" si="20"/>
        <v>0</v>
      </c>
      <c r="AU16" s="134"/>
      <c r="AV16" s="135" t="str">
        <f t="shared" si="21"/>
        <v>NA</v>
      </c>
      <c r="AW16" s="134"/>
      <c r="AX16" s="135" t="str">
        <f t="shared" si="22"/>
        <v>NA</v>
      </c>
      <c r="AY16" s="133">
        <f t="shared" si="23"/>
        <v>0</v>
      </c>
      <c r="AZ16" s="168">
        <f t="shared" si="24"/>
        <v>0</v>
      </c>
      <c r="BA16" s="173">
        <f t="shared" si="25"/>
        <v>0</v>
      </c>
      <c r="IX16"/>
      <c r="IY16"/>
      <c r="IZ16"/>
      <c r="JA16"/>
    </row>
    <row r="17" spans="1:261" ht="20.100000000000001" hidden="1" customHeight="1" outlineLevel="1" thickBot="1" x14ac:dyDescent="0.3">
      <c r="A17" s="151">
        <f>IF((A16+1)&lt;=Outline!$E$12,A16+1,0)</f>
        <v>9</v>
      </c>
      <c r="B17" s="154"/>
      <c r="C17" s="159"/>
      <c r="D17" s="170"/>
      <c r="E17" s="165">
        <f t="shared" si="1"/>
        <v>0</v>
      </c>
      <c r="F17" s="151"/>
      <c r="G17" s="165">
        <f t="shared" si="26"/>
        <v>0</v>
      </c>
      <c r="H17" s="151"/>
      <c r="I17" s="165">
        <f t="shared" si="27"/>
        <v>0</v>
      </c>
      <c r="J17" s="151"/>
      <c r="K17" s="165" t="str">
        <f t="shared" si="4"/>
        <v>NA</v>
      </c>
      <c r="L17" s="141">
        <f t="shared" si="0"/>
        <v>0</v>
      </c>
      <c r="M17" s="152"/>
      <c r="N17" s="166">
        <f t="shared" si="5"/>
        <v>0</v>
      </c>
      <c r="O17" s="152"/>
      <c r="P17" s="166">
        <f t="shared" si="6"/>
        <v>0</v>
      </c>
      <c r="Q17" s="152"/>
      <c r="R17" s="166">
        <f t="shared" si="7"/>
        <v>0</v>
      </c>
      <c r="S17" s="152"/>
      <c r="T17" s="166" t="str">
        <f t="shared" si="8"/>
        <v>NA</v>
      </c>
      <c r="U17" s="142">
        <f t="shared" si="2"/>
        <v>0</v>
      </c>
      <c r="V17" s="151"/>
      <c r="W17" s="167">
        <f t="shared" si="9"/>
        <v>0</v>
      </c>
      <c r="X17" s="151"/>
      <c r="Y17" s="167">
        <f t="shared" si="10"/>
        <v>0</v>
      </c>
      <c r="Z17" s="151"/>
      <c r="AA17" s="167">
        <f t="shared" si="11"/>
        <v>0</v>
      </c>
      <c r="AB17" s="151"/>
      <c r="AC17" s="167" t="str">
        <f t="shared" si="3"/>
        <v>NA</v>
      </c>
      <c r="AD17" s="143">
        <f t="shared" si="28"/>
        <v>0</v>
      </c>
      <c r="AE17" s="134"/>
      <c r="AF17" s="135">
        <f t="shared" si="12"/>
        <v>0</v>
      </c>
      <c r="AG17" s="134"/>
      <c r="AH17" s="135" t="str">
        <f t="shared" si="13"/>
        <v>NA</v>
      </c>
      <c r="AI17" s="134"/>
      <c r="AJ17" s="135" t="str">
        <f t="shared" si="14"/>
        <v>NA</v>
      </c>
      <c r="AK17" s="133">
        <f t="shared" si="15"/>
        <v>0</v>
      </c>
      <c r="AL17" s="133"/>
      <c r="AM17" s="182" t="str">
        <f t="shared" si="16"/>
        <v>NA</v>
      </c>
      <c r="AN17" s="133"/>
      <c r="AO17" s="182" t="str">
        <f t="shared" si="17"/>
        <v>NA</v>
      </c>
      <c r="AP17" s="133"/>
      <c r="AQ17" s="182" t="str">
        <f t="shared" si="18"/>
        <v>NA</v>
      </c>
      <c r="AR17" s="133">
        <f t="shared" si="19"/>
        <v>0</v>
      </c>
      <c r="AS17" s="134"/>
      <c r="AT17" s="135">
        <f t="shared" si="20"/>
        <v>0</v>
      </c>
      <c r="AU17" s="134"/>
      <c r="AV17" s="135" t="str">
        <f t="shared" si="21"/>
        <v>NA</v>
      </c>
      <c r="AW17" s="134"/>
      <c r="AX17" s="135" t="str">
        <f t="shared" si="22"/>
        <v>NA</v>
      </c>
      <c r="AY17" s="133">
        <f t="shared" si="23"/>
        <v>0</v>
      </c>
      <c r="AZ17" s="168">
        <f t="shared" si="24"/>
        <v>0</v>
      </c>
      <c r="BA17" s="173">
        <f t="shared" si="25"/>
        <v>0</v>
      </c>
      <c r="IX17"/>
      <c r="IY17"/>
      <c r="IZ17"/>
      <c r="JA17"/>
    </row>
    <row r="18" spans="1:261" ht="20.100000000000001" hidden="1" customHeight="1" outlineLevel="1" thickBot="1" x14ac:dyDescent="0.3">
      <c r="A18" s="151">
        <f>IF((A17+1)&lt;=Outline!$E$12,A17+1,0)</f>
        <v>10</v>
      </c>
      <c r="B18" s="154"/>
      <c r="C18" s="159"/>
      <c r="D18" s="170"/>
      <c r="E18" s="165">
        <f t="shared" si="1"/>
        <v>0</v>
      </c>
      <c r="F18" s="151"/>
      <c r="G18" s="165">
        <f t="shared" si="26"/>
        <v>0</v>
      </c>
      <c r="H18" s="151"/>
      <c r="I18" s="165">
        <f t="shared" si="27"/>
        <v>0</v>
      </c>
      <c r="J18" s="151"/>
      <c r="K18" s="165" t="str">
        <f t="shared" si="4"/>
        <v>NA</v>
      </c>
      <c r="L18" s="141">
        <f t="shared" si="0"/>
        <v>0</v>
      </c>
      <c r="M18" s="152"/>
      <c r="N18" s="166">
        <f t="shared" si="5"/>
        <v>0</v>
      </c>
      <c r="O18" s="152"/>
      <c r="P18" s="166">
        <f t="shared" si="6"/>
        <v>0</v>
      </c>
      <c r="Q18" s="152"/>
      <c r="R18" s="166">
        <f t="shared" si="7"/>
        <v>0</v>
      </c>
      <c r="S18" s="152"/>
      <c r="T18" s="166" t="str">
        <f t="shared" si="8"/>
        <v>NA</v>
      </c>
      <c r="U18" s="142">
        <f t="shared" si="2"/>
        <v>0</v>
      </c>
      <c r="V18" s="151"/>
      <c r="W18" s="167">
        <f t="shared" si="9"/>
        <v>0</v>
      </c>
      <c r="X18" s="151"/>
      <c r="Y18" s="167">
        <f t="shared" si="10"/>
        <v>0</v>
      </c>
      <c r="Z18" s="151"/>
      <c r="AA18" s="167">
        <f t="shared" si="11"/>
        <v>0</v>
      </c>
      <c r="AB18" s="151"/>
      <c r="AC18" s="167" t="str">
        <f t="shared" si="3"/>
        <v>NA</v>
      </c>
      <c r="AD18" s="143">
        <f t="shared" si="28"/>
        <v>0</v>
      </c>
      <c r="AE18" s="134"/>
      <c r="AF18" s="135">
        <f t="shared" si="12"/>
        <v>0</v>
      </c>
      <c r="AG18" s="134"/>
      <c r="AH18" s="135" t="str">
        <f t="shared" si="13"/>
        <v>NA</v>
      </c>
      <c r="AI18" s="134"/>
      <c r="AJ18" s="135" t="str">
        <f t="shared" si="14"/>
        <v>NA</v>
      </c>
      <c r="AK18" s="133">
        <f t="shared" si="15"/>
        <v>0</v>
      </c>
      <c r="AL18" s="133"/>
      <c r="AM18" s="182" t="str">
        <f t="shared" si="16"/>
        <v>NA</v>
      </c>
      <c r="AN18" s="133"/>
      <c r="AO18" s="182" t="str">
        <f t="shared" si="17"/>
        <v>NA</v>
      </c>
      <c r="AP18" s="133"/>
      <c r="AQ18" s="182" t="str">
        <f t="shared" si="18"/>
        <v>NA</v>
      </c>
      <c r="AR18" s="133">
        <f t="shared" si="19"/>
        <v>0</v>
      </c>
      <c r="AS18" s="134"/>
      <c r="AT18" s="135">
        <f t="shared" si="20"/>
        <v>0</v>
      </c>
      <c r="AU18" s="134"/>
      <c r="AV18" s="135" t="str">
        <f t="shared" si="21"/>
        <v>NA</v>
      </c>
      <c r="AW18" s="134"/>
      <c r="AX18" s="135" t="str">
        <f t="shared" si="22"/>
        <v>NA</v>
      </c>
      <c r="AY18" s="133">
        <f t="shared" si="23"/>
        <v>0</v>
      </c>
      <c r="AZ18" s="168">
        <f t="shared" si="24"/>
        <v>0</v>
      </c>
      <c r="BA18" s="173">
        <f t="shared" si="25"/>
        <v>0</v>
      </c>
      <c r="IX18"/>
      <c r="IY18"/>
      <c r="IZ18"/>
      <c r="JA18"/>
    </row>
    <row r="19" spans="1:261" ht="20.100000000000001" hidden="1" customHeight="1" outlineLevel="1" thickBot="1" x14ac:dyDescent="0.3">
      <c r="A19" s="151">
        <f>IF((A18+1)&lt;=Outline!$E$12,A18+1,0)</f>
        <v>11</v>
      </c>
      <c r="B19" s="153"/>
      <c r="C19" s="159"/>
      <c r="D19" s="170"/>
      <c r="E19" s="165">
        <f t="shared" si="1"/>
        <v>0</v>
      </c>
      <c r="F19" s="151"/>
      <c r="G19" s="165">
        <f t="shared" si="26"/>
        <v>0</v>
      </c>
      <c r="H19" s="151"/>
      <c r="I19" s="165">
        <f t="shared" si="27"/>
        <v>0</v>
      </c>
      <c r="J19" s="151"/>
      <c r="K19" s="165" t="str">
        <f t="shared" si="4"/>
        <v>NA</v>
      </c>
      <c r="L19" s="141">
        <f t="shared" si="0"/>
        <v>0</v>
      </c>
      <c r="M19" s="152"/>
      <c r="N19" s="166">
        <f t="shared" si="5"/>
        <v>0</v>
      </c>
      <c r="O19" s="152"/>
      <c r="P19" s="166">
        <f t="shared" si="6"/>
        <v>0</v>
      </c>
      <c r="Q19" s="152"/>
      <c r="R19" s="166">
        <f t="shared" si="7"/>
        <v>0</v>
      </c>
      <c r="S19" s="152"/>
      <c r="T19" s="166" t="str">
        <f t="shared" si="8"/>
        <v>NA</v>
      </c>
      <c r="U19" s="142">
        <f t="shared" si="2"/>
        <v>0</v>
      </c>
      <c r="V19" s="151"/>
      <c r="W19" s="167">
        <f t="shared" si="9"/>
        <v>0</v>
      </c>
      <c r="X19" s="151"/>
      <c r="Y19" s="167">
        <f t="shared" si="10"/>
        <v>0</v>
      </c>
      <c r="Z19" s="151"/>
      <c r="AA19" s="167">
        <f t="shared" si="11"/>
        <v>0</v>
      </c>
      <c r="AB19" s="151"/>
      <c r="AC19" s="167" t="str">
        <f t="shared" si="3"/>
        <v>NA</v>
      </c>
      <c r="AD19" s="143">
        <f t="shared" si="28"/>
        <v>0</v>
      </c>
      <c r="AE19" s="134"/>
      <c r="AF19" s="135">
        <f t="shared" si="12"/>
        <v>0</v>
      </c>
      <c r="AG19" s="134"/>
      <c r="AH19" s="135" t="str">
        <f t="shared" si="13"/>
        <v>NA</v>
      </c>
      <c r="AI19" s="134"/>
      <c r="AJ19" s="135" t="str">
        <f t="shared" si="14"/>
        <v>NA</v>
      </c>
      <c r="AK19" s="133">
        <f t="shared" si="15"/>
        <v>0</v>
      </c>
      <c r="AL19" s="133"/>
      <c r="AM19" s="182" t="str">
        <f t="shared" si="16"/>
        <v>NA</v>
      </c>
      <c r="AN19" s="133"/>
      <c r="AO19" s="182" t="str">
        <f t="shared" si="17"/>
        <v>NA</v>
      </c>
      <c r="AP19" s="133"/>
      <c r="AQ19" s="182" t="str">
        <f t="shared" si="18"/>
        <v>NA</v>
      </c>
      <c r="AR19" s="133">
        <f t="shared" si="19"/>
        <v>0</v>
      </c>
      <c r="AS19" s="134"/>
      <c r="AT19" s="135">
        <f t="shared" si="20"/>
        <v>0</v>
      </c>
      <c r="AU19" s="134"/>
      <c r="AV19" s="135" t="str">
        <f t="shared" si="21"/>
        <v>NA</v>
      </c>
      <c r="AW19" s="134"/>
      <c r="AX19" s="135" t="str">
        <f t="shared" si="22"/>
        <v>NA</v>
      </c>
      <c r="AY19" s="133">
        <f t="shared" si="23"/>
        <v>0</v>
      </c>
      <c r="AZ19" s="168">
        <f t="shared" si="24"/>
        <v>0</v>
      </c>
      <c r="BA19" s="173">
        <f t="shared" si="25"/>
        <v>0</v>
      </c>
      <c r="IX19"/>
      <c r="IY19"/>
      <c r="IZ19"/>
      <c r="JA19"/>
    </row>
    <row r="20" spans="1:261" ht="20.100000000000001" hidden="1" customHeight="1" outlineLevel="1" thickBot="1" x14ac:dyDescent="0.3">
      <c r="A20" s="151">
        <f>IF((A19+1)&lt;=Outline!$E$12,A19+1,0)</f>
        <v>12</v>
      </c>
      <c r="B20" s="154"/>
      <c r="C20" s="159"/>
      <c r="D20" s="170"/>
      <c r="E20" s="165">
        <f t="shared" si="1"/>
        <v>0</v>
      </c>
      <c r="F20" s="151"/>
      <c r="G20" s="165">
        <f t="shared" si="26"/>
        <v>0</v>
      </c>
      <c r="H20" s="151"/>
      <c r="I20" s="165">
        <f t="shared" si="27"/>
        <v>0</v>
      </c>
      <c r="J20" s="151"/>
      <c r="K20" s="165" t="str">
        <f t="shared" si="4"/>
        <v>NA</v>
      </c>
      <c r="L20" s="141">
        <f t="shared" si="0"/>
        <v>0</v>
      </c>
      <c r="M20" s="152"/>
      <c r="N20" s="166">
        <f t="shared" si="5"/>
        <v>0</v>
      </c>
      <c r="O20" s="152"/>
      <c r="P20" s="166">
        <f t="shared" si="6"/>
        <v>0</v>
      </c>
      <c r="Q20" s="152"/>
      <c r="R20" s="166">
        <f t="shared" si="7"/>
        <v>0</v>
      </c>
      <c r="S20" s="152"/>
      <c r="T20" s="166" t="str">
        <f t="shared" si="8"/>
        <v>NA</v>
      </c>
      <c r="U20" s="142">
        <f t="shared" si="2"/>
        <v>0</v>
      </c>
      <c r="V20" s="151"/>
      <c r="W20" s="167">
        <f t="shared" si="9"/>
        <v>0</v>
      </c>
      <c r="X20" s="151"/>
      <c r="Y20" s="167">
        <f t="shared" si="10"/>
        <v>0</v>
      </c>
      <c r="Z20" s="151"/>
      <c r="AA20" s="167">
        <f t="shared" si="11"/>
        <v>0</v>
      </c>
      <c r="AB20" s="151"/>
      <c r="AC20" s="167" t="str">
        <f t="shared" si="3"/>
        <v>NA</v>
      </c>
      <c r="AD20" s="143">
        <f t="shared" si="28"/>
        <v>0</v>
      </c>
      <c r="AE20" s="134"/>
      <c r="AF20" s="135">
        <f t="shared" si="12"/>
        <v>0</v>
      </c>
      <c r="AG20" s="134"/>
      <c r="AH20" s="135" t="str">
        <f t="shared" si="13"/>
        <v>NA</v>
      </c>
      <c r="AI20" s="134"/>
      <c r="AJ20" s="135" t="str">
        <f t="shared" si="14"/>
        <v>NA</v>
      </c>
      <c r="AK20" s="133">
        <f t="shared" si="15"/>
        <v>0</v>
      </c>
      <c r="AL20" s="133"/>
      <c r="AM20" s="182" t="str">
        <f t="shared" si="16"/>
        <v>NA</v>
      </c>
      <c r="AN20" s="133"/>
      <c r="AO20" s="182" t="str">
        <f t="shared" si="17"/>
        <v>NA</v>
      </c>
      <c r="AP20" s="133"/>
      <c r="AQ20" s="182" t="str">
        <f t="shared" si="18"/>
        <v>NA</v>
      </c>
      <c r="AR20" s="133">
        <f t="shared" si="19"/>
        <v>0</v>
      </c>
      <c r="AS20" s="134"/>
      <c r="AT20" s="135">
        <f t="shared" si="20"/>
        <v>0</v>
      </c>
      <c r="AU20" s="134"/>
      <c r="AV20" s="135" t="str">
        <f t="shared" si="21"/>
        <v>NA</v>
      </c>
      <c r="AW20" s="134"/>
      <c r="AX20" s="135" t="str">
        <f t="shared" si="22"/>
        <v>NA</v>
      </c>
      <c r="AY20" s="133">
        <f t="shared" si="23"/>
        <v>0</v>
      </c>
      <c r="AZ20" s="168">
        <f t="shared" si="24"/>
        <v>0</v>
      </c>
      <c r="BA20" s="173">
        <f t="shared" si="25"/>
        <v>0</v>
      </c>
    </row>
    <row r="21" spans="1:261" ht="20.100000000000001" hidden="1" customHeight="1" outlineLevel="1" thickBot="1" x14ac:dyDescent="0.3">
      <c r="A21" s="151">
        <f>IF((A20+1)&lt;=Outline!$E$12,A20+1,0)</f>
        <v>13</v>
      </c>
      <c r="B21" s="153"/>
      <c r="C21" s="159"/>
      <c r="D21" s="170"/>
      <c r="E21" s="165">
        <f t="shared" si="1"/>
        <v>0</v>
      </c>
      <c r="F21" s="151"/>
      <c r="G21" s="165">
        <f t="shared" si="26"/>
        <v>0</v>
      </c>
      <c r="H21" s="151"/>
      <c r="I21" s="165">
        <f t="shared" si="27"/>
        <v>0</v>
      </c>
      <c r="J21" s="151"/>
      <c r="K21" s="165" t="str">
        <f t="shared" si="4"/>
        <v>NA</v>
      </c>
      <c r="L21" s="141">
        <f t="shared" si="0"/>
        <v>0</v>
      </c>
      <c r="M21" s="152"/>
      <c r="N21" s="166">
        <f t="shared" si="5"/>
        <v>0</v>
      </c>
      <c r="O21" s="152"/>
      <c r="P21" s="166">
        <f t="shared" si="6"/>
        <v>0</v>
      </c>
      <c r="Q21" s="152"/>
      <c r="R21" s="166">
        <f t="shared" si="7"/>
        <v>0</v>
      </c>
      <c r="S21" s="152"/>
      <c r="T21" s="166" t="str">
        <f t="shared" si="8"/>
        <v>NA</v>
      </c>
      <c r="U21" s="142">
        <f t="shared" si="2"/>
        <v>0</v>
      </c>
      <c r="V21" s="151"/>
      <c r="W21" s="167">
        <f t="shared" si="9"/>
        <v>0</v>
      </c>
      <c r="X21" s="151"/>
      <c r="Y21" s="167">
        <f t="shared" si="10"/>
        <v>0</v>
      </c>
      <c r="Z21" s="151"/>
      <c r="AA21" s="167">
        <f t="shared" si="11"/>
        <v>0</v>
      </c>
      <c r="AB21" s="151"/>
      <c r="AC21" s="167" t="str">
        <f t="shared" si="3"/>
        <v>NA</v>
      </c>
      <c r="AD21" s="143">
        <f t="shared" si="28"/>
        <v>0</v>
      </c>
      <c r="AE21" s="134"/>
      <c r="AF21" s="135">
        <f t="shared" si="12"/>
        <v>0</v>
      </c>
      <c r="AG21" s="134"/>
      <c r="AH21" s="135" t="str">
        <f t="shared" si="13"/>
        <v>NA</v>
      </c>
      <c r="AI21" s="134"/>
      <c r="AJ21" s="135" t="str">
        <f t="shared" si="14"/>
        <v>NA</v>
      </c>
      <c r="AK21" s="133">
        <f t="shared" si="15"/>
        <v>0</v>
      </c>
      <c r="AL21" s="133"/>
      <c r="AM21" s="182" t="str">
        <f t="shared" si="16"/>
        <v>NA</v>
      </c>
      <c r="AN21" s="133"/>
      <c r="AO21" s="182" t="str">
        <f t="shared" si="17"/>
        <v>NA</v>
      </c>
      <c r="AP21" s="133"/>
      <c r="AQ21" s="182" t="str">
        <f t="shared" si="18"/>
        <v>NA</v>
      </c>
      <c r="AR21" s="133">
        <f t="shared" si="19"/>
        <v>0</v>
      </c>
      <c r="AS21" s="134"/>
      <c r="AT21" s="135">
        <f t="shared" si="20"/>
        <v>0</v>
      </c>
      <c r="AU21" s="134"/>
      <c r="AV21" s="135" t="str">
        <f t="shared" si="21"/>
        <v>NA</v>
      </c>
      <c r="AW21" s="134"/>
      <c r="AX21" s="135" t="str">
        <f t="shared" si="22"/>
        <v>NA</v>
      </c>
      <c r="AY21" s="133">
        <f t="shared" si="23"/>
        <v>0</v>
      </c>
      <c r="AZ21" s="168">
        <f t="shared" si="24"/>
        <v>0</v>
      </c>
      <c r="BA21" s="173">
        <f t="shared" si="25"/>
        <v>0</v>
      </c>
    </row>
    <row r="22" spans="1:261" ht="20.100000000000001" hidden="1" customHeight="1" outlineLevel="1" thickBot="1" x14ac:dyDescent="0.3">
      <c r="A22" s="151">
        <f>IF((A21+1)&lt;=Outline!$E$12,A21+1,0)</f>
        <v>14</v>
      </c>
      <c r="B22" s="154"/>
      <c r="C22" s="159"/>
      <c r="D22" s="170"/>
      <c r="E22" s="165">
        <f t="shared" si="1"/>
        <v>0</v>
      </c>
      <c r="F22" s="151"/>
      <c r="G22" s="165">
        <f t="shared" si="26"/>
        <v>0</v>
      </c>
      <c r="H22" s="151"/>
      <c r="I22" s="165">
        <f t="shared" si="27"/>
        <v>0</v>
      </c>
      <c r="J22" s="151"/>
      <c r="K22" s="165" t="str">
        <f t="shared" si="4"/>
        <v>NA</v>
      </c>
      <c r="L22" s="141">
        <f t="shared" si="0"/>
        <v>0</v>
      </c>
      <c r="M22" s="152"/>
      <c r="N22" s="166">
        <f t="shared" si="5"/>
        <v>0</v>
      </c>
      <c r="O22" s="152"/>
      <c r="P22" s="166">
        <f t="shared" si="6"/>
        <v>0</v>
      </c>
      <c r="Q22" s="152"/>
      <c r="R22" s="166">
        <f t="shared" si="7"/>
        <v>0</v>
      </c>
      <c r="S22" s="152"/>
      <c r="T22" s="166" t="str">
        <f t="shared" si="8"/>
        <v>NA</v>
      </c>
      <c r="U22" s="142">
        <f t="shared" si="2"/>
        <v>0</v>
      </c>
      <c r="V22" s="151"/>
      <c r="W22" s="167">
        <f t="shared" si="9"/>
        <v>0</v>
      </c>
      <c r="X22" s="151"/>
      <c r="Y22" s="167">
        <f t="shared" si="10"/>
        <v>0</v>
      </c>
      <c r="Z22" s="151"/>
      <c r="AA22" s="167">
        <f t="shared" si="11"/>
        <v>0</v>
      </c>
      <c r="AB22" s="151"/>
      <c r="AC22" s="167" t="str">
        <f t="shared" si="3"/>
        <v>NA</v>
      </c>
      <c r="AD22" s="143">
        <f t="shared" si="28"/>
        <v>0</v>
      </c>
      <c r="AE22" s="134"/>
      <c r="AF22" s="135">
        <f t="shared" si="12"/>
        <v>0</v>
      </c>
      <c r="AG22" s="134"/>
      <c r="AH22" s="135" t="str">
        <f t="shared" si="13"/>
        <v>NA</v>
      </c>
      <c r="AI22" s="134"/>
      <c r="AJ22" s="135" t="str">
        <f t="shared" si="14"/>
        <v>NA</v>
      </c>
      <c r="AK22" s="133">
        <f t="shared" si="15"/>
        <v>0</v>
      </c>
      <c r="AL22" s="133"/>
      <c r="AM22" s="182" t="str">
        <f t="shared" si="16"/>
        <v>NA</v>
      </c>
      <c r="AN22" s="133"/>
      <c r="AO22" s="182" t="str">
        <f t="shared" si="17"/>
        <v>NA</v>
      </c>
      <c r="AP22" s="133"/>
      <c r="AQ22" s="182" t="str">
        <f t="shared" si="18"/>
        <v>NA</v>
      </c>
      <c r="AR22" s="133">
        <f t="shared" si="19"/>
        <v>0</v>
      </c>
      <c r="AS22" s="134"/>
      <c r="AT22" s="135">
        <f t="shared" si="20"/>
        <v>0</v>
      </c>
      <c r="AU22" s="134"/>
      <c r="AV22" s="135" t="str">
        <f t="shared" si="21"/>
        <v>NA</v>
      </c>
      <c r="AW22" s="134"/>
      <c r="AX22" s="135" t="str">
        <f t="shared" si="22"/>
        <v>NA</v>
      </c>
      <c r="AY22" s="133">
        <f t="shared" si="23"/>
        <v>0</v>
      </c>
      <c r="AZ22" s="168">
        <f t="shared" si="24"/>
        <v>0</v>
      </c>
      <c r="BA22" s="173">
        <f t="shared" si="25"/>
        <v>0</v>
      </c>
    </row>
    <row r="23" spans="1:261" ht="20.100000000000001" hidden="1" customHeight="1" outlineLevel="1" thickBot="1" x14ac:dyDescent="0.3">
      <c r="A23" s="151">
        <f>IF((A22+1)&lt;=Outline!$E$12,A22+1,0)</f>
        <v>15</v>
      </c>
      <c r="B23" s="154"/>
      <c r="C23" s="159"/>
      <c r="D23" s="170"/>
      <c r="E23" s="165">
        <f t="shared" si="1"/>
        <v>0</v>
      </c>
      <c r="F23" s="151"/>
      <c r="G23" s="165">
        <f t="shared" si="26"/>
        <v>0</v>
      </c>
      <c r="H23" s="151"/>
      <c r="I23" s="165">
        <f t="shared" si="27"/>
        <v>0</v>
      </c>
      <c r="J23" s="151"/>
      <c r="K23" s="165" t="str">
        <f t="shared" si="4"/>
        <v>NA</v>
      </c>
      <c r="L23" s="141">
        <f t="shared" si="0"/>
        <v>0</v>
      </c>
      <c r="M23" s="152"/>
      <c r="N23" s="166">
        <f t="shared" si="5"/>
        <v>0</v>
      </c>
      <c r="O23" s="152"/>
      <c r="P23" s="166">
        <f t="shared" si="6"/>
        <v>0</v>
      </c>
      <c r="Q23" s="152"/>
      <c r="R23" s="166">
        <f t="shared" si="7"/>
        <v>0</v>
      </c>
      <c r="S23" s="152"/>
      <c r="T23" s="166" t="str">
        <f t="shared" si="8"/>
        <v>NA</v>
      </c>
      <c r="U23" s="142">
        <f t="shared" si="2"/>
        <v>0</v>
      </c>
      <c r="V23" s="151"/>
      <c r="W23" s="167">
        <f t="shared" si="9"/>
        <v>0</v>
      </c>
      <c r="X23" s="151"/>
      <c r="Y23" s="167">
        <f t="shared" si="10"/>
        <v>0</v>
      </c>
      <c r="Z23" s="151"/>
      <c r="AA23" s="167">
        <f t="shared" si="11"/>
        <v>0</v>
      </c>
      <c r="AB23" s="151"/>
      <c r="AC23" s="167" t="str">
        <f t="shared" si="3"/>
        <v>NA</v>
      </c>
      <c r="AD23" s="143">
        <f t="shared" si="28"/>
        <v>0</v>
      </c>
      <c r="AE23" s="134"/>
      <c r="AF23" s="135">
        <f t="shared" si="12"/>
        <v>0</v>
      </c>
      <c r="AG23" s="134"/>
      <c r="AH23" s="135" t="str">
        <f t="shared" si="13"/>
        <v>NA</v>
      </c>
      <c r="AI23" s="134"/>
      <c r="AJ23" s="135" t="str">
        <f t="shared" si="14"/>
        <v>NA</v>
      </c>
      <c r="AK23" s="133">
        <f t="shared" si="15"/>
        <v>0</v>
      </c>
      <c r="AL23" s="133"/>
      <c r="AM23" s="182" t="str">
        <f t="shared" si="16"/>
        <v>NA</v>
      </c>
      <c r="AN23" s="133"/>
      <c r="AO23" s="182" t="str">
        <f t="shared" si="17"/>
        <v>NA</v>
      </c>
      <c r="AP23" s="133"/>
      <c r="AQ23" s="182" t="str">
        <f t="shared" si="18"/>
        <v>NA</v>
      </c>
      <c r="AR23" s="133">
        <f t="shared" si="19"/>
        <v>0</v>
      </c>
      <c r="AS23" s="134"/>
      <c r="AT23" s="135">
        <f t="shared" si="20"/>
        <v>0</v>
      </c>
      <c r="AU23" s="134"/>
      <c r="AV23" s="135" t="str">
        <f t="shared" si="21"/>
        <v>NA</v>
      </c>
      <c r="AW23" s="134"/>
      <c r="AX23" s="135" t="str">
        <f t="shared" si="22"/>
        <v>NA</v>
      </c>
      <c r="AY23" s="133">
        <f t="shared" si="23"/>
        <v>0</v>
      </c>
      <c r="AZ23" s="168">
        <f t="shared" si="24"/>
        <v>0</v>
      </c>
      <c r="BA23" s="173">
        <f t="shared" si="25"/>
        <v>0</v>
      </c>
    </row>
    <row r="24" spans="1:261" ht="20.100000000000001" hidden="1" customHeight="1" outlineLevel="1" thickBot="1" x14ac:dyDescent="0.3">
      <c r="A24" s="151">
        <f>IF((A23+1)&lt;=Outline!$E$12,A23+1,0)</f>
        <v>16</v>
      </c>
      <c r="B24" s="154"/>
      <c r="C24" s="159"/>
      <c r="D24" s="170"/>
      <c r="E24" s="165">
        <f t="shared" si="1"/>
        <v>0</v>
      </c>
      <c r="F24" s="151"/>
      <c r="G24" s="165">
        <f t="shared" si="26"/>
        <v>0</v>
      </c>
      <c r="H24" s="151"/>
      <c r="I24" s="165">
        <f t="shared" si="27"/>
        <v>0</v>
      </c>
      <c r="J24" s="151"/>
      <c r="K24" s="165" t="str">
        <f t="shared" si="4"/>
        <v>NA</v>
      </c>
      <c r="L24" s="141">
        <f t="shared" si="0"/>
        <v>0</v>
      </c>
      <c r="M24" s="152"/>
      <c r="N24" s="166">
        <f t="shared" si="5"/>
        <v>0</v>
      </c>
      <c r="O24" s="152"/>
      <c r="P24" s="166">
        <f t="shared" si="6"/>
        <v>0</v>
      </c>
      <c r="Q24" s="152"/>
      <c r="R24" s="166">
        <f t="shared" si="7"/>
        <v>0</v>
      </c>
      <c r="S24" s="152"/>
      <c r="T24" s="166" t="str">
        <f t="shared" si="8"/>
        <v>NA</v>
      </c>
      <c r="U24" s="142">
        <f t="shared" si="2"/>
        <v>0</v>
      </c>
      <c r="V24" s="151"/>
      <c r="W24" s="167">
        <f t="shared" si="9"/>
        <v>0</v>
      </c>
      <c r="X24" s="151"/>
      <c r="Y24" s="167">
        <f t="shared" si="10"/>
        <v>0</v>
      </c>
      <c r="Z24" s="151"/>
      <c r="AA24" s="167">
        <f t="shared" si="11"/>
        <v>0</v>
      </c>
      <c r="AB24" s="151"/>
      <c r="AC24" s="167" t="str">
        <f t="shared" si="3"/>
        <v>NA</v>
      </c>
      <c r="AD24" s="143">
        <f t="shared" si="28"/>
        <v>0</v>
      </c>
      <c r="AE24" s="134"/>
      <c r="AF24" s="135">
        <f t="shared" si="12"/>
        <v>0</v>
      </c>
      <c r="AG24" s="134"/>
      <c r="AH24" s="135" t="str">
        <f t="shared" si="13"/>
        <v>NA</v>
      </c>
      <c r="AI24" s="134"/>
      <c r="AJ24" s="135" t="str">
        <f t="shared" si="14"/>
        <v>NA</v>
      </c>
      <c r="AK24" s="133">
        <f t="shared" si="15"/>
        <v>0</v>
      </c>
      <c r="AL24" s="133"/>
      <c r="AM24" s="182" t="str">
        <f t="shared" si="16"/>
        <v>NA</v>
      </c>
      <c r="AN24" s="133"/>
      <c r="AO24" s="182" t="str">
        <f t="shared" si="17"/>
        <v>NA</v>
      </c>
      <c r="AP24" s="133"/>
      <c r="AQ24" s="182" t="str">
        <f t="shared" si="18"/>
        <v>NA</v>
      </c>
      <c r="AR24" s="133">
        <f t="shared" si="19"/>
        <v>0</v>
      </c>
      <c r="AS24" s="134"/>
      <c r="AT24" s="135">
        <f t="shared" si="20"/>
        <v>0</v>
      </c>
      <c r="AU24" s="134"/>
      <c r="AV24" s="135" t="str">
        <f t="shared" si="21"/>
        <v>NA</v>
      </c>
      <c r="AW24" s="134"/>
      <c r="AX24" s="135" t="str">
        <f t="shared" si="22"/>
        <v>NA</v>
      </c>
      <c r="AY24" s="133">
        <f t="shared" si="23"/>
        <v>0</v>
      </c>
      <c r="AZ24" s="168">
        <f t="shared" si="24"/>
        <v>0</v>
      </c>
      <c r="BA24" s="173">
        <f t="shared" si="25"/>
        <v>0</v>
      </c>
    </row>
    <row r="25" spans="1:261" ht="20.100000000000001" hidden="1" customHeight="1" outlineLevel="1" thickBot="1" x14ac:dyDescent="0.3">
      <c r="A25" s="151">
        <f>IF((A24+1)&lt;=Outline!$E$12,A24+1,0)</f>
        <v>17</v>
      </c>
      <c r="B25" s="155"/>
      <c r="C25" s="160"/>
      <c r="D25" s="170"/>
      <c r="E25" s="165">
        <f t="shared" si="1"/>
        <v>0</v>
      </c>
      <c r="F25" s="151"/>
      <c r="G25" s="165">
        <f t="shared" si="26"/>
        <v>0</v>
      </c>
      <c r="H25" s="151"/>
      <c r="I25" s="165">
        <f t="shared" si="27"/>
        <v>0</v>
      </c>
      <c r="J25" s="151"/>
      <c r="K25" s="165" t="str">
        <f t="shared" si="4"/>
        <v>NA</v>
      </c>
      <c r="L25" s="141">
        <f t="shared" si="0"/>
        <v>0</v>
      </c>
      <c r="M25" s="152"/>
      <c r="N25" s="166">
        <f t="shared" si="5"/>
        <v>0</v>
      </c>
      <c r="O25" s="152"/>
      <c r="P25" s="166">
        <f t="shared" si="6"/>
        <v>0</v>
      </c>
      <c r="Q25" s="152"/>
      <c r="R25" s="166">
        <f t="shared" si="7"/>
        <v>0</v>
      </c>
      <c r="S25" s="152"/>
      <c r="T25" s="166" t="str">
        <f t="shared" si="8"/>
        <v>NA</v>
      </c>
      <c r="U25" s="142">
        <f t="shared" si="2"/>
        <v>0</v>
      </c>
      <c r="V25" s="151"/>
      <c r="W25" s="167">
        <f t="shared" si="9"/>
        <v>0</v>
      </c>
      <c r="X25" s="151"/>
      <c r="Y25" s="167">
        <f t="shared" si="10"/>
        <v>0</v>
      </c>
      <c r="Z25" s="151"/>
      <c r="AA25" s="167">
        <f t="shared" si="11"/>
        <v>0</v>
      </c>
      <c r="AB25" s="151"/>
      <c r="AC25" s="167" t="str">
        <f t="shared" si="3"/>
        <v>NA</v>
      </c>
      <c r="AD25" s="143">
        <f t="shared" si="28"/>
        <v>0</v>
      </c>
      <c r="AE25" s="134"/>
      <c r="AF25" s="135">
        <f t="shared" si="12"/>
        <v>0</v>
      </c>
      <c r="AG25" s="134"/>
      <c r="AH25" s="135" t="str">
        <f t="shared" si="13"/>
        <v>NA</v>
      </c>
      <c r="AI25" s="134"/>
      <c r="AJ25" s="135" t="str">
        <f t="shared" si="14"/>
        <v>NA</v>
      </c>
      <c r="AK25" s="133">
        <f t="shared" si="15"/>
        <v>0</v>
      </c>
      <c r="AL25" s="133"/>
      <c r="AM25" s="182" t="str">
        <f t="shared" si="16"/>
        <v>NA</v>
      </c>
      <c r="AN25" s="133"/>
      <c r="AO25" s="182" t="str">
        <f t="shared" si="17"/>
        <v>NA</v>
      </c>
      <c r="AP25" s="133"/>
      <c r="AQ25" s="182" t="str">
        <f t="shared" si="18"/>
        <v>NA</v>
      </c>
      <c r="AR25" s="133">
        <f t="shared" si="19"/>
        <v>0</v>
      </c>
      <c r="AS25" s="134"/>
      <c r="AT25" s="135">
        <f t="shared" si="20"/>
        <v>0</v>
      </c>
      <c r="AU25" s="134"/>
      <c r="AV25" s="135" t="str">
        <f t="shared" si="21"/>
        <v>NA</v>
      </c>
      <c r="AW25" s="134"/>
      <c r="AX25" s="135" t="str">
        <f t="shared" si="22"/>
        <v>NA</v>
      </c>
      <c r="AY25" s="133">
        <f t="shared" si="23"/>
        <v>0</v>
      </c>
      <c r="AZ25" s="168">
        <f t="shared" si="24"/>
        <v>0</v>
      </c>
      <c r="BA25" s="173">
        <f t="shared" si="25"/>
        <v>0</v>
      </c>
    </row>
    <row r="26" spans="1:261" ht="20.100000000000001" hidden="1" customHeight="1" outlineLevel="1" thickBot="1" x14ac:dyDescent="0.3">
      <c r="A26" s="151">
        <f>IF((A25+1)&lt;=Outline!$E$12,A25+1,0)</f>
        <v>18</v>
      </c>
      <c r="B26" s="156"/>
      <c r="C26" s="160"/>
      <c r="D26" s="170"/>
      <c r="E26" s="165">
        <f t="shared" si="1"/>
        <v>0</v>
      </c>
      <c r="F26" s="151"/>
      <c r="G26" s="165">
        <f t="shared" si="26"/>
        <v>0</v>
      </c>
      <c r="H26" s="151"/>
      <c r="I26" s="165">
        <f t="shared" si="27"/>
        <v>0</v>
      </c>
      <c r="J26" s="151"/>
      <c r="K26" s="165" t="str">
        <f t="shared" si="4"/>
        <v>NA</v>
      </c>
      <c r="L26" s="141">
        <f t="shared" si="0"/>
        <v>0</v>
      </c>
      <c r="M26" s="152"/>
      <c r="N26" s="166">
        <f t="shared" si="5"/>
        <v>0</v>
      </c>
      <c r="O26" s="152"/>
      <c r="P26" s="166">
        <f t="shared" si="6"/>
        <v>0</v>
      </c>
      <c r="Q26" s="152"/>
      <c r="R26" s="166">
        <f t="shared" si="7"/>
        <v>0</v>
      </c>
      <c r="S26" s="152"/>
      <c r="T26" s="166" t="str">
        <f t="shared" si="8"/>
        <v>NA</v>
      </c>
      <c r="U26" s="142">
        <f t="shared" si="2"/>
        <v>0</v>
      </c>
      <c r="V26" s="151"/>
      <c r="W26" s="167">
        <f t="shared" si="9"/>
        <v>0</v>
      </c>
      <c r="X26" s="151"/>
      <c r="Y26" s="167">
        <f t="shared" si="10"/>
        <v>0</v>
      </c>
      <c r="Z26" s="151"/>
      <c r="AA26" s="167">
        <f t="shared" si="11"/>
        <v>0</v>
      </c>
      <c r="AB26" s="151"/>
      <c r="AC26" s="167" t="str">
        <f t="shared" si="3"/>
        <v>NA</v>
      </c>
      <c r="AD26" s="143">
        <f t="shared" si="28"/>
        <v>0</v>
      </c>
      <c r="AE26" s="134"/>
      <c r="AF26" s="135">
        <f t="shared" si="12"/>
        <v>0</v>
      </c>
      <c r="AG26" s="134"/>
      <c r="AH26" s="135" t="str">
        <f t="shared" si="13"/>
        <v>NA</v>
      </c>
      <c r="AI26" s="134"/>
      <c r="AJ26" s="135" t="str">
        <f t="shared" si="14"/>
        <v>NA</v>
      </c>
      <c r="AK26" s="133">
        <f t="shared" si="15"/>
        <v>0</v>
      </c>
      <c r="AL26" s="133"/>
      <c r="AM26" s="182" t="str">
        <f t="shared" si="16"/>
        <v>NA</v>
      </c>
      <c r="AN26" s="133"/>
      <c r="AO26" s="182" t="str">
        <f t="shared" si="17"/>
        <v>NA</v>
      </c>
      <c r="AP26" s="133"/>
      <c r="AQ26" s="182" t="str">
        <f t="shared" si="18"/>
        <v>NA</v>
      </c>
      <c r="AR26" s="133">
        <f t="shared" si="19"/>
        <v>0</v>
      </c>
      <c r="AS26" s="134"/>
      <c r="AT26" s="135">
        <f t="shared" si="20"/>
        <v>0</v>
      </c>
      <c r="AU26" s="134"/>
      <c r="AV26" s="135" t="str">
        <f t="shared" si="21"/>
        <v>NA</v>
      </c>
      <c r="AW26" s="134"/>
      <c r="AX26" s="135" t="str">
        <f t="shared" si="22"/>
        <v>NA</v>
      </c>
      <c r="AY26" s="133">
        <f t="shared" si="23"/>
        <v>0</v>
      </c>
      <c r="AZ26" s="168">
        <f t="shared" si="24"/>
        <v>0</v>
      </c>
      <c r="BA26" s="173">
        <f t="shared" si="25"/>
        <v>0</v>
      </c>
    </row>
    <row r="27" spans="1:261" ht="20.100000000000001" hidden="1" customHeight="1" outlineLevel="1" thickBot="1" x14ac:dyDescent="0.3">
      <c r="A27" s="151">
        <f>IF((A26+1)&lt;=Outline!$E$12,A26+1,0)</f>
        <v>19</v>
      </c>
      <c r="B27" s="154"/>
      <c r="C27" s="159"/>
      <c r="D27" s="170"/>
      <c r="E27" s="165">
        <f t="shared" si="1"/>
        <v>0</v>
      </c>
      <c r="F27" s="151"/>
      <c r="G27" s="165">
        <f t="shared" si="26"/>
        <v>0</v>
      </c>
      <c r="H27" s="151"/>
      <c r="I27" s="165">
        <f t="shared" si="27"/>
        <v>0</v>
      </c>
      <c r="J27" s="151"/>
      <c r="K27" s="165" t="str">
        <f t="shared" si="4"/>
        <v>NA</v>
      </c>
      <c r="L27" s="141">
        <f t="shared" si="0"/>
        <v>0</v>
      </c>
      <c r="M27" s="152"/>
      <c r="N27" s="166">
        <f t="shared" si="5"/>
        <v>0</v>
      </c>
      <c r="O27" s="152"/>
      <c r="P27" s="166">
        <f t="shared" si="6"/>
        <v>0</v>
      </c>
      <c r="Q27" s="152"/>
      <c r="R27" s="166">
        <f t="shared" si="7"/>
        <v>0</v>
      </c>
      <c r="S27" s="152"/>
      <c r="T27" s="166" t="str">
        <f t="shared" si="8"/>
        <v>NA</v>
      </c>
      <c r="U27" s="142">
        <f t="shared" si="2"/>
        <v>0</v>
      </c>
      <c r="V27" s="151"/>
      <c r="W27" s="167">
        <f t="shared" si="9"/>
        <v>0</v>
      </c>
      <c r="X27" s="151"/>
      <c r="Y27" s="167">
        <f t="shared" si="10"/>
        <v>0</v>
      </c>
      <c r="Z27" s="151"/>
      <c r="AA27" s="167">
        <f t="shared" si="11"/>
        <v>0</v>
      </c>
      <c r="AB27" s="151"/>
      <c r="AC27" s="167" t="str">
        <f t="shared" si="3"/>
        <v>NA</v>
      </c>
      <c r="AD27" s="143">
        <f t="shared" si="28"/>
        <v>0</v>
      </c>
      <c r="AE27" s="134"/>
      <c r="AF27" s="135">
        <f t="shared" si="12"/>
        <v>0</v>
      </c>
      <c r="AG27" s="134"/>
      <c r="AH27" s="135" t="str">
        <f t="shared" si="13"/>
        <v>NA</v>
      </c>
      <c r="AI27" s="134"/>
      <c r="AJ27" s="135" t="str">
        <f t="shared" si="14"/>
        <v>NA</v>
      </c>
      <c r="AK27" s="133">
        <f t="shared" si="15"/>
        <v>0</v>
      </c>
      <c r="AL27" s="133"/>
      <c r="AM27" s="182" t="str">
        <f t="shared" si="16"/>
        <v>NA</v>
      </c>
      <c r="AN27" s="133"/>
      <c r="AO27" s="182" t="str">
        <f t="shared" si="17"/>
        <v>NA</v>
      </c>
      <c r="AP27" s="133"/>
      <c r="AQ27" s="182" t="str">
        <f t="shared" si="18"/>
        <v>NA</v>
      </c>
      <c r="AR27" s="133">
        <f t="shared" si="19"/>
        <v>0</v>
      </c>
      <c r="AS27" s="134"/>
      <c r="AT27" s="135">
        <f t="shared" si="20"/>
        <v>0</v>
      </c>
      <c r="AU27" s="134"/>
      <c r="AV27" s="135" t="str">
        <f t="shared" si="21"/>
        <v>NA</v>
      </c>
      <c r="AW27" s="134"/>
      <c r="AX27" s="135" t="str">
        <f t="shared" si="22"/>
        <v>NA</v>
      </c>
      <c r="AY27" s="133">
        <f t="shared" si="23"/>
        <v>0</v>
      </c>
      <c r="AZ27" s="168">
        <f t="shared" si="24"/>
        <v>0</v>
      </c>
      <c r="BA27" s="173">
        <f t="shared" si="25"/>
        <v>0</v>
      </c>
    </row>
    <row r="28" spans="1:261" ht="20.100000000000001" hidden="1" customHeight="1" outlineLevel="1" thickBot="1" x14ac:dyDescent="0.3">
      <c r="A28" s="151">
        <f>IF((A27+1)&lt;=Outline!$E$12,A27+1,0)</f>
        <v>20</v>
      </c>
      <c r="B28" s="153"/>
      <c r="C28" s="159"/>
      <c r="D28" s="170"/>
      <c r="E28" s="165">
        <f t="shared" si="1"/>
        <v>0</v>
      </c>
      <c r="F28" s="151"/>
      <c r="G28" s="165">
        <f t="shared" si="26"/>
        <v>0</v>
      </c>
      <c r="H28" s="151"/>
      <c r="I28" s="165">
        <f t="shared" si="27"/>
        <v>0</v>
      </c>
      <c r="J28" s="151"/>
      <c r="K28" s="165" t="str">
        <f t="shared" si="4"/>
        <v>NA</v>
      </c>
      <c r="L28" s="141">
        <f t="shared" si="0"/>
        <v>0</v>
      </c>
      <c r="M28" s="152"/>
      <c r="N28" s="166">
        <f t="shared" si="5"/>
        <v>0</v>
      </c>
      <c r="O28" s="152"/>
      <c r="P28" s="166">
        <f t="shared" si="6"/>
        <v>0</v>
      </c>
      <c r="Q28" s="152"/>
      <c r="R28" s="166">
        <f t="shared" si="7"/>
        <v>0</v>
      </c>
      <c r="S28" s="152"/>
      <c r="T28" s="166" t="str">
        <f t="shared" si="8"/>
        <v>NA</v>
      </c>
      <c r="U28" s="142">
        <f t="shared" si="2"/>
        <v>0</v>
      </c>
      <c r="V28" s="151"/>
      <c r="W28" s="167">
        <f t="shared" si="9"/>
        <v>0</v>
      </c>
      <c r="X28" s="151"/>
      <c r="Y28" s="167">
        <f t="shared" si="10"/>
        <v>0</v>
      </c>
      <c r="Z28" s="151"/>
      <c r="AA28" s="167">
        <f t="shared" si="11"/>
        <v>0</v>
      </c>
      <c r="AB28" s="151"/>
      <c r="AC28" s="167" t="str">
        <f t="shared" si="3"/>
        <v>NA</v>
      </c>
      <c r="AD28" s="143">
        <f t="shared" si="28"/>
        <v>0</v>
      </c>
      <c r="AE28" s="134"/>
      <c r="AF28" s="135">
        <f t="shared" si="12"/>
        <v>0</v>
      </c>
      <c r="AG28" s="134"/>
      <c r="AH28" s="135" t="str">
        <f t="shared" si="13"/>
        <v>NA</v>
      </c>
      <c r="AI28" s="134"/>
      <c r="AJ28" s="135" t="str">
        <f t="shared" si="14"/>
        <v>NA</v>
      </c>
      <c r="AK28" s="133">
        <f t="shared" si="15"/>
        <v>0</v>
      </c>
      <c r="AL28" s="133"/>
      <c r="AM28" s="182" t="str">
        <f t="shared" si="16"/>
        <v>NA</v>
      </c>
      <c r="AN28" s="133"/>
      <c r="AO28" s="182" t="str">
        <f t="shared" si="17"/>
        <v>NA</v>
      </c>
      <c r="AP28" s="133"/>
      <c r="AQ28" s="182" t="str">
        <f t="shared" si="18"/>
        <v>NA</v>
      </c>
      <c r="AR28" s="133">
        <f t="shared" si="19"/>
        <v>0</v>
      </c>
      <c r="AS28" s="134"/>
      <c r="AT28" s="135">
        <f t="shared" si="20"/>
        <v>0</v>
      </c>
      <c r="AU28" s="134"/>
      <c r="AV28" s="135" t="str">
        <f t="shared" si="21"/>
        <v>NA</v>
      </c>
      <c r="AW28" s="134"/>
      <c r="AX28" s="135" t="str">
        <f t="shared" si="22"/>
        <v>NA</v>
      </c>
      <c r="AY28" s="133">
        <f t="shared" si="23"/>
        <v>0</v>
      </c>
      <c r="AZ28" s="168">
        <f t="shared" si="24"/>
        <v>0</v>
      </c>
      <c r="BA28" s="173">
        <f t="shared" si="25"/>
        <v>0</v>
      </c>
    </row>
    <row r="29" spans="1:261" ht="20.100000000000001" hidden="1" customHeight="1" outlineLevel="1" thickBot="1" x14ac:dyDescent="0.3">
      <c r="A29" s="151">
        <f>IF((A28+1)&lt;=Outline!$E$12,A28+1,0)</f>
        <v>21</v>
      </c>
      <c r="B29" s="154"/>
      <c r="C29" s="159"/>
      <c r="D29" s="170"/>
      <c r="E29" s="165">
        <f t="shared" si="1"/>
        <v>0</v>
      </c>
      <c r="F29" s="151"/>
      <c r="G29" s="165">
        <f t="shared" si="26"/>
        <v>0</v>
      </c>
      <c r="H29" s="151"/>
      <c r="I29" s="165">
        <f t="shared" si="27"/>
        <v>0</v>
      </c>
      <c r="J29" s="151"/>
      <c r="K29" s="165" t="str">
        <f t="shared" si="4"/>
        <v>NA</v>
      </c>
      <c r="L29" s="141">
        <f t="shared" si="0"/>
        <v>0</v>
      </c>
      <c r="M29" s="152"/>
      <c r="N29" s="166">
        <f t="shared" si="5"/>
        <v>0</v>
      </c>
      <c r="O29" s="152"/>
      <c r="P29" s="166">
        <f t="shared" si="6"/>
        <v>0</v>
      </c>
      <c r="Q29" s="152"/>
      <c r="R29" s="166">
        <f t="shared" si="7"/>
        <v>0</v>
      </c>
      <c r="S29" s="152"/>
      <c r="T29" s="166" t="str">
        <f t="shared" si="8"/>
        <v>NA</v>
      </c>
      <c r="U29" s="142">
        <f t="shared" si="2"/>
        <v>0</v>
      </c>
      <c r="V29" s="151"/>
      <c r="W29" s="167">
        <f t="shared" si="9"/>
        <v>0</v>
      </c>
      <c r="X29" s="151"/>
      <c r="Y29" s="167">
        <f t="shared" si="10"/>
        <v>0</v>
      </c>
      <c r="Z29" s="151"/>
      <c r="AA29" s="167">
        <f t="shared" si="11"/>
        <v>0</v>
      </c>
      <c r="AB29" s="151"/>
      <c r="AC29" s="167" t="str">
        <f t="shared" si="3"/>
        <v>NA</v>
      </c>
      <c r="AD29" s="143">
        <f t="shared" si="28"/>
        <v>0</v>
      </c>
      <c r="AE29" s="134"/>
      <c r="AF29" s="135">
        <f t="shared" si="12"/>
        <v>0</v>
      </c>
      <c r="AG29" s="134"/>
      <c r="AH29" s="135" t="str">
        <f t="shared" si="13"/>
        <v>NA</v>
      </c>
      <c r="AI29" s="134"/>
      <c r="AJ29" s="135" t="str">
        <f t="shared" si="14"/>
        <v>NA</v>
      </c>
      <c r="AK29" s="133">
        <f t="shared" si="15"/>
        <v>0</v>
      </c>
      <c r="AL29" s="133"/>
      <c r="AM29" s="182" t="str">
        <f t="shared" si="16"/>
        <v>NA</v>
      </c>
      <c r="AN29" s="133"/>
      <c r="AO29" s="182" t="str">
        <f t="shared" si="17"/>
        <v>NA</v>
      </c>
      <c r="AP29" s="133"/>
      <c r="AQ29" s="182" t="str">
        <f t="shared" si="18"/>
        <v>NA</v>
      </c>
      <c r="AR29" s="133">
        <f t="shared" si="19"/>
        <v>0</v>
      </c>
      <c r="AS29" s="134"/>
      <c r="AT29" s="135">
        <f t="shared" si="20"/>
        <v>0</v>
      </c>
      <c r="AU29" s="134"/>
      <c r="AV29" s="135" t="str">
        <f t="shared" si="21"/>
        <v>NA</v>
      </c>
      <c r="AW29" s="134"/>
      <c r="AX29" s="135" t="str">
        <f t="shared" si="22"/>
        <v>NA</v>
      </c>
      <c r="AY29" s="133">
        <f t="shared" si="23"/>
        <v>0</v>
      </c>
      <c r="AZ29" s="168">
        <f t="shared" si="24"/>
        <v>0</v>
      </c>
      <c r="BA29" s="173">
        <f t="shared" si="25"/>
        <v>0</v>
      </c>
    </row>
    <row r="30" spans="1:261" ht="20.100000000000001" hidden="1" customHeight="1" outlineLevel="1" thickBot="1" x14ac:dyDescent="0.3">
      <c r="A30" s="151">
        <f>IF((A29+1)&lt;=Outline!$E$12,A29+1,0)</f>
        <v>22</v>
      </c>
      <c r="B30" s="153"/>
      <c r="C30" s="161"/>
      <c r="D30" s="170"/>
      <c r="E30" s="165">
        <f t="shared" si="1"/>
        <v>0</v>
      </c>
      <c r="F30" s="151"/>
      <c r="G30" s="165">
        <f t="shared" si="26"/>
        <v>0</v>
      </c>
      <c r="H30" s="151"/>
      <c r="I30" s="165">
        <f t="shared" si="27"/>
        <v>0</v>
      </c>
      <c r="J30" s="151"/>
      <c r="K30" s="165" t="str">
        <f t="shared" si="4"/>
        <v>NA</v>
      </c>
      <c r="L30" s="141">
        <f t="shared" si="0"/>
        <v>0</v>
      </c>
      <c r="M30" s="152"/>
      <c r="N30" s="166">
        <f t="shared" si="5"/>
        <v>0</v>
      </c>
      <c r="O30" s="152"/>
      <c r="P30" s="166">
        <f t="shared" si="6"/>
        <v>0</v>
      </c>
      <c r="Q30" s="152"/>
      <c r="R30" s="166">
        <f t="shared" si="7"/>
        <v>0</v>
      </c>
      <c r="S30" s="152"/>
      <c r="T30" s="166" t="str">
        <f t="shared" si="8"/>
        <v>NA</v>
      </c>
      <c r="U30" s="142">
        <f t="shared" si="2"/>
        <v>0</v>
      </c>
      <c r="V30" s="151"/>
      <c r="W30" s="167">
        <f t="shared" si="9"/>
        <v>0</v>
      </c>
      <c r="X30" s="151"/>
      <c r="Y30" s="167">
        <f t="shared" si="10"/>
        <v>0</v>
      </c>
      <c r="Z30" s="151"/>
      <c r="AA30" s="167">
        <f t="shared" si="11"/>
        <v>0</v>
      </c>
      <c r="AB30" s="151"/>
      <c r="AC30" s="167" t="str">
        <f t="shared" si="3"/>
        <v>NA</v>
      </c>
      <c r="AD30" s="143">
        <f t="shared" si="28"/>
        <v>0</v>
      </c>
      <c r="AE30" s="134"/>
      <c r="AF30" s="135">
        <f t="shared" si="12"/>
        <v>0</v>
      </c>
      <c r="AG30" s="134"/>
      <c r="AH30" s="135" t="str">
        <f t="shared" si="13"/>
        <v>NA</v>
      </c>
      <c r="AI30" s="134"/>
      <c r="AJ30" s="135" t="str">
        <f t="shared" si="14"/>
        <v>NA</v>
      </c>
      <c r="AK30" s="133">
        <f t="shared" si="15"/>
        <v>0</v>
      </c>
      <c r="AL30" s="133"/>
      <c r="AM30" s="182" t="str">
        <f t="shared" si="16"/>
        <v>NA</v>
      </c>
      <c r="AN30" s="133"/>
      <c r="AO30" s="182" t="str">
        <f t="shared" si="17"/>
        <v>NA</v>
      </c>
      <c r="AP30" s="133"/>
      <c r="AQ30" s="182" t="str">
        <f t="shared" si="18"/>
        <v>NA</v>
      </c>
      <c r="AR30" s="133">
        <f t="shared" si="19"/>
        <v>0</v>
      </c>
      <c r="AS30" s="134"/>
      <c r="AT30" s="135">
        <f t="shared" si="20"/>
        <v>0</v>
      </c>
      <c r="AU30" s="134"/>
      <c r="AV30" s="135" t="str">
        <f t="shared" si="21"/>
        <v>NA</v>
      </c>
      <c r="AW30" s="134"/>
      <c r="AX30" s="135" t="str">
        <f t="shared" si="22"/>
        <v>NA</v>
      </c>
      <c r="AY30" s="133">
        <f t="shared" si="23"/>
        <v>0</v>
      </c>
      <c r="AZ30" s="168">
        <f t="shared" si="24"/>
        <v>0</v>
      </c>
      <c r="BA30" s="173">
        <f t="shared" si="25"/>
        <v>0</v>
      </c>
    </row>
    <row r="31" spans="1:261" ht="20.100000000000001" hidden="1" customHeight="1" outlineLevel="1" thickBot="1" x14ac:dyDescent="0.3">
      <c r="A31" s="151">
        <f>IF((A30+1)&lt;=Outline!$E$12,A30+1,0)</f>
        <v>23</v>
      </c>
      <c r="B31" s="154"/>
      <c r="C31" s="159"/>
      <c r="D31" s="170"/>
      <c r="E31" s="165">
        <f t="shared" si="1"/>
        <v>0</v>
      </c>
      <c r="F31" s="151"/>
      <c r="G31" s="165">
        <f t="shared" si="26"/>
        <v>0</v>
      </c>
      <c r="H31" s="151"/>
      <c r="I31" s="165">
        <f t="shared" si="27"/>
        <v>0</v>
      </c>
      <c r="J31" s="151"/>
      <c r="K31" s="165" t="str">
        <f t="shared" si="4"/>
        <v>NA</v>
      </c>
      <c r="L31" s="141">
        <f t="shared" si="0"/>
        <v>0</v>
      </c>
      <c r="M31" s="152"/>
      <c r="N31" s="166">
        <f t="shared" si="5"/>
        <v>0</v>
      </c>
      <c r="O31" s="152"/>
      <c r="P31" s="166">
        <f t="shared" si="6"/>
        <v>0</v>
      </c>
      <c r="Q31" s="152"/>
      <c r="R31" s="166">
        <f t="shared" si="7"/>
        <v>0</v>
      </c>
      <c r="S31" s="152"/>
      <c r="T31" s="166" t="str">
        <f t="shared" si="8"/>
        <v>NA</v>
      </c>
      <c r="U31" s="142">
        <f t="shared" si="2"/>
        <v>0</v>
      </c>
      <c r="V31" s="151"/>
      <c r="W31" s="167">
        <f t="shared" si="9"/>
        <v>0</v>
      </c>
      <c r="X31" s="151"/>
      <c r="Y31" s="167">
        <f t="shared" si="10"/>
        <v>0</v>
      </c>
      <c r="Z31" s="151"/>
      <c r="AA31" s="167">
        <f t="shared" si="11"/>
        <v>0</v>
      </c>
      <c r="AB31" s="151"/>
      <c r="AC31" s="167" t="str">
        <f t="shared" si="3"/>
        <v>NA</v>
      </c>
      <c r="AD31" s="143">
        <f t="shared" si="28"/>
        <v>0</v>
      </c>
      <c r="AE31" s="134"/>
      <c r="AF31" s="135">
        <f t="shared" si="12"/>
        <v>0</v>
      </c>
      <c r="AG31" s="134"/>
      <c r="AH31" s="135" t="str">
        <f t="shared" si="13"/>
        <v>NA</v>
      </c>
      <c r="AI31" s="134"/>
      <c r="AJ31" s="135" t="str">
        <f t="shared" si="14"/>
        <v>NA</v>
      </c>
      <c r="AK31" s="133">
        <f t="shared" si="15"/>
        <v>0</v>
      </c>
      <c r="AL31" s="133"/>
      <c r="AM31" s="182" t="str">
        <f t="shared" si="16"/>
        <v>NA</v>
      </c>
      <c r="AN31" s="133"/>
      <c r="AO31" s="182" t="str">
        <f t="shared" si="17"/>
        <v>NA</v>
      </c>
      <c r="AP31" s="133"/>
      <c r="AQ31" s="182" t="str">
        <f t="shared" si="18"/>
        <v>NA</v>
      </c>
      <c r="AR31" s="133">
        <f t="shared" si="19"/>
        <v>0</v>
      </c>
      <c r="AS31" s="134"/>
      <c r="AT31" s="135">
        <f t="shared" si="20"/>
        <v>0</v>
      </c>
      <c r="AU31" s="134"/>
      <c r="AV31" s="135" t="str">
        <f t="shared" si="21"/>
        <v>NA</v>
      </c>
      <c r="AW31" s="134"/>
      <c r="AX31" s="135" t="str">
        <f t="shared" si="22"/>
        <v>NA</v>
      </c>
      <c r="AY31" s="133">
        <f t="shared" si="23"/>
        <v>0</v>
      </c>
      <c r="AZ31" s="168">
        <f t="shared" si="24"/>
        <v>0</v>
      </c>
      <c r="BA31" s="173">
        <f t="shared" si="25"/>
        <v>0</v>
      </c>
    </row>
    <row r="32" spans="1:261" ht="20.100000000000001" hidden="1" customHeight="1" outlineLevel="1" thickBot="1" x14ac:dyDescent="0.3">
      <c r="A32" s="151">
        <f>IF((A31+1)&lt;=Outline!$E$12,A31+1,0)</f>
        <v>24</v>
      </c>
      <c r="B32" s="153"/>
      <c r="C32" s="159"/>
      <c r="D32" s="170"/>
      <c r="E32" s="165">
        <f t="shared" si="1"/>
        <v>0</v>
      </c>
      <c r="F32" s="151"/>
      <c r="G32" s="165">
        <f t="shared" si="26"/>
        <v>0</v>
      </c>
      <c r="H32" s="151"/>
      <c r="I32" s="165">
        <f t="shared" si="27"/>
        <v>0</v>
      </c>
      <c r="J32" s="151"/>
      <c r="K32" s="165" t="str">
        <f t="shared" si="4"/>
        <v>NA</v>
      </c>
      <c r="L32" s="141">
        <f t="shared" si="0"/>
        <v>0</v>
      </c>
      <c r="M32" s="152"/>
      <c r="N32" s="166">
        <f t="shared" si="5"/>
        <v>0</v>
      </c>
      <c r="O32" s="152"/>
      <c r="P32" s="166">
        <f t="shared" si="6"/>
        <v>0</v>
      </c>
      <c r="Q32" s="152"/>
      <c r="R32" s="166">
        <f t="shared" si="7"/>
        <v>0</v>
      </c>
      <c r="S32" s="152"/>
      <c r="T32" s="166" t="str">
        <f t="shared" si="8"/>
        <v>NA</v>
      </c>
      <c r="U32" s="142">
        <f t="shared" si="2"/>
        <v>0</v>
      </c>
      <c r="V32" s="151"/>
      <c r="W32" s="167">
        <f t="shared" si="9"/>
        <v>0</v>
      </c>
      <c r="X32" s="151"/>
      <c r="Y32" s="167">
        <f t="shared" si="10"/>
        <v>0</v>
      </c>
      <c r="Z32" s="151"/>
      <c r="AA32" s="167">
        <f t="shared" si="11"/>
        <v>0</v>
      </c>
      <c r="AB32" s="151"/>
      <c r="AC32" s="167" t="str">
        <f t="shared" si="3"/>
        <v>NA</v>
      </c>
      <c r="AD32" s="143">
        <f t="shared" si="28"/>
        <v>0</v>
      </c>
      <c r="AE32" s="134"/>
      <c r="AF32" s="135">
        <f t="shared" si="12"/>
        <v>0</v>
      </c>
      <c r="AG32" s="134"/>
      <c r="AH32" s="135" t="str">
        <f t="shared" si="13"/>
        <v>NA</v>
      </c>
      <c r="AI32" s="134"/>
      <c r="AJ32" s="135" t="str">
        <f t="shared" si="14"/>
        <v>NA</v>
      </c>
      <c r="AK32" s="133">
        <f t="shared" si="15"/>
        <v>0</v>
      </c>
      <c r="AL32" s="133"/>
      <c r="AM32" s="182" t="str">
        <f t="shared" si="16"/>
        <v>NA</v>
      </c>
      <c r="AN32" s="133"/>
      <c r="AO32" s="182" t="str">
        <f t="shared" si="17"/>
        <v>NA</v>
      </c>
      <c r="AP32" s="133"/>
      <c r="AQ32" s="182" t="str">
        <f t="shared" si="18"/>
        <v>NA</v>
      </c>
      <c r="AR32" s="133">
        <f t="shared" si="19"/>
        <v>0</v>
      </c>
      <c r="AS32" s="134"/>
      <c r="AT32" s="135">
        <f t="shared" si="20"/>
        <v>0</v>
      </c>
      <c r="AU32" s="134"/>
      <c r="AV32" s="135" t="str">
        <f t="shared" si="21"/>
        <v>NA</v>
      </c>
      <c r="AW32" s="134"/>
      <c r="AX32" s="135" t="str">
        <f t="shared" si="22"/>
        <v>NA</v>
      </c>
      <c r="AY32" s="133">
        <f t="shared" si="23"/>
        <v>0</v>
      </c>
      <c r="AZ32" s="168">
        <f t="shared" si="24"/>
        <v>0</v>
      </c>
      <c r="BA32" s="173">
        <f t="shared" si="25"/>
        <v>0</v>
      </c>
    </row>
    <row r="33" spans="1:53" ht="20.100000000000001" hidden="1" customHeight="1" outlineLevel="1" thickBot="1" x14ac:dyDescent="0.3">
      <c r="A33" s="151">
        <f>IF((A32+1)&lt;=Outline!$E$12,A32+1,0)</f>
        <v>25</v>
      </c>
      <c r="B33" s="155"/>
      <c r="C33" s="162"/>
      <c r="D33" s="170"/>
      <c r="E33" s="165">
        <f t="shared" si="1"/>
        <v>0</v>
      </c>
      <c r="F33" s="151"/>
      <c r="G33" s="165">
        <f t="shared" si="26"/>
        <v>0</v>
      </c>
      <c r="H33" s="151"/>
      <c r="I33" s="165">
        <f t="shared" si="27"/>
        <v>0</v>
      </c>
      <c r="J33" s="151"/>
      <c r="K33" s="165" t="str">
        <f t="shared" si="4"/>
        <v>NA</v>
      </c>
      <c r="L33" s="141">
        <f t="shared" si="0"/>
        <v>0</v>
      </c>
      <c r="M33" s="152"/>
      <c r="N33" s="166">
        <f t="shared" si="5"/>
        <v>0</v>
      </c>
      <c r="O33" s="152"/>
      <c r="P33" s="166">
        <f t="shared" si="6"/>
        <v>0</v>
      </c>
      <c r="Q33" s="152"/>
      <c r="R33" s="166">
        <f t="shared" si="7"/>
        <v>0</v>
      </c>
      <c r="S33" s="152"/>
      <c r="T33" s="166" t="str">
        <f t="shared" si="8"/>
        <v>NA</v>
      </c>
      <c r="U33" s="142">
        <f t="shared" si="2"/>
        <v>0</v>
      </c>
      <c r="V33" s="151"/>
      <c r="W33" s="167">
        <f t="shared" si="9"/>
        <v>0</v>
      </c>
      <c r="X33" s="151"/>
      <c r="Y33" s="167">
        <f t="shared" si="10"/>
        <v>0</v>
      </c>
      <c r="Z33" s="151"/>
      <c r="AA33" s="167">
        <f t="shared" si="11"/>
        <v>0</v>
      </c>
      <c r="AB33" s="151"/>
      <c r="AC33" s="167" t="str">
        <f t="shared" si="3"/>
        <v>NA</v>
      </c>
      <c r="AD33" s="143">
        <f t="shared" si="28"/>
        <v>0</v>
      </c>
      <c r="AE33" s="134"/>
      <c r="AF33" s="135">
        <f t="shared" si="12"/>
        <v>0</v>
      </c>
      <c r="AG33" s="134"/>
      <c r="AH33" s="135" t="str">
        <f t="shared" si="13"/>
        <v>NA</v>
      </c>
      <c r="AI33" s="134"/>
      <c r="AJ33" s="135" t="str">
        <f t="shared" si="14"/>
        <v>NA</v>
      </c>
      <c r="AK33" s="133">
        <f t="shared" si="15"/>
        <v>0</v>
      </c>
      <c r="AL33" s="133"/>
      <c r="AM33" s="182" t="str">
        <f t="shared" si="16"/>
        <v>NA</v>
      </c>
      <c r="AN33" s="133"/>
      <c r="AO33" s="182" t="str">
        <f t="shared" si="17"/>
        <v>NA</v>
      </c>
      <c r="AP33" s="133"/>
      <c r="AQ33" s="182" t="str">
        <f t="shared" si="18"/>
        <v>NA</v>
      </c>
      <c r="AR33" s="133">
        <f t="shared" si="19"/>
        <v>0</v>
      </c>
      <c r="AS33" s="134"/>
      <c r="AT33" s="135">
        <f t="shared" si="20"/>
        <v>0</v>
      </c>
      <c r="AU33" s="134"/>
      <c r="AV33" s="135" t="str">
        <f t="shared" si="21"/>
        <v>NA</v>
      </c>
      <c r="AW33" s="134"/>
      <c r="AX33" s="135" t="str">
        <f t="shared" si="22"/>
        <v>NA</v>
      </c>
      <c r="AY33" s="133">
        <f t="shared" si="23"/>
        <v>0</v>
      </c>
      <c r="AZ33" s="168">
        <f t="shared" si="24"/>
        <v>0</v>
      </c>
      <c r="BA33" s="173">
        <f t="shared" si="25"/>
        <v>0</v>
      </c>
    </row>
    <row r="34" spans="1:53" ht="20.100000000000001" hidden="1" customHeight="1" outlineLevel="1" thickBot="1" x14ac:dyDescent="0.3">
      <c r="A34" s="151">
        <f>IF((A33+1)&lt;=Outline!$E$12,A33+1,0)</f>
        <v>26</v>
      </c>
      <c r="B34" s="155"/>
      <c r="C34" s="162"/>
      <c r="D34" s="170"/>
      <c r="E34" s="165">
        <f t="shared" si="1"/>
        <v>0</v>
      </c>
      <c r="F34" s="151"/>
      <c r="G34" s="165">
        <f t="shared" si="26"/>
        <v>0</v>
      </c>
      <c r="H34" s="151"/>
      <c r="I34" s="165">
        <f t="shared" si="27"/>
        <v>0</v>
      </c>
      <c r="J34" s="151"/>
      <c r="K34" s="165" t="str">
        <f t="shared" si="4"/>
        <v>NA</v>
      </c>
      <c r="L34" s="141">
        <f t="shared" si="0"/>
        <v>0</v>
      </c>
      <c r="M34" s="152"/>
      <c r="N34" s="166">
        <f t="shared" si="5"/>
        <v>0</v>
      </c>
      <c r="O34" s="152"/>
      <c r="P34" s="166">
        <f t="shared" si="6"/>
        <v>0</v>
      </c>
      <c r="Q34" s="152"/>
      <c r="R34" s="166">
        <f t="shared" si="7"/>
        <v>0</v>
      </c>
      <c r="S34" s="152"/>
      <c r="T34" s="166" t="str">
        <f t="shared" si="8"/>
        <v>NA</v>
      </c>
      <c r="U34" s="142">
        <f t="shared" si="2"/>
        <v>0</v>
      </c>
      <c r="V34" s="151"/>
      <c r="W34" s="167">
        <f t="shared" si="9"/>
        <v>0</v>
      </c>
      <c r="X34" s="151"/>
      <c r="Y34" s="167">
        <f t="shared" si="10"/>
        <v>0</v>
      </c>
      <c r="Z34" s="151"/>
      <c r="AA34" s="167">
        <f t="shared" si="11"/>
        <v>0</v>
      </c>
      <c r="AB34" s="151"/>
      <c r="AC34" s="167" t="str">
        <f t="shared" si="3"/>
        <v>NA</v>
      </c>
      <c r="AD34" s="143">
        <f t="shared" si="28"/>
        <v>0</v>
      </c>
      <c r="AE34" s="134"/>
      <c r="AF34" s="135">
        <f t="shared" si="12"/>
        <v>0</v>
      </c>
      <c r="AG34" s="134"/>
      <c r="AH34" s="135" t="str">
        <f t="shared" si="13"/>
        <v>NA</v>
      </c>
      <c r="AI34" s="134"/>
      <c r="AJ34" s="135" t="str">
        <f t="shared" si="14"/>
        <v>NA</v>
      </c>
      <c r="AK34" s="133">
        <f t="shared" si="15"/>
        <v>0</v>
      </c>
      <c r="AL34" s="133"/>
      <c r="AM34" s="182" t="str">
        <f t="shared" si="16"/>
        <v>NA</v>
      </c>
      <c r="AN34" s="133"/>
      <c r="AO34" s="182" t="str">
        <f t="shared" si="17"/>
        <v>NA</v>
      </c>
      <c r="AP34" s="133"/>
      <c r="AQ34" s="182" t="str">
        <f t="shared" si="18"/>
        <v>NA</v>
      </c>
      <c r="AR34" s="133">
        <f t="shared" si="19"/>
        <v>0</v>
      </c>
      <c r="AS34" s="134"/>
      <c r="AT34" s="135">
        <f t="shared" si="20"/>
        <v>0</v>
      </c>
      <c r="AU34" s="134"/>
      <c r="AV34" s="135" t="str">
        <f t="shared" si="21"/>
        <v>NA</v>
      </c>
      <c r="AW34" s="134"/>
      <c r="AX34" s="135" t="str">
        <f t="shared" si="22"/>
        <v>NA</v>
      </c>
      <c r="AY34" s="133">
        <f t="shared" si="23"/>
        <v>0</v>
      </c>
      <c r="AZ34" s="168">
        <f t="shared" si="24"/>
        <v>0</v>
      </c>
      <c r="BA34" s="173">
        <f t="shared" si="25"/>
        <v>0</v>
      </c>
    </row>
    <row r="35" spans="1:53" ht="20.100000000000001" hidden="1" customHeight="1" outlineLevel="1" thickBot="1" x14ac:dyDescent="0.3">
      <c r="A35" s="151">
        <f>IF((A34+1)&lt;=Outline!$E$12,A34+1,0)</f>
        <v>27</v>
      </c>
      <c r="B35" s="154"/>
      <c r="C35" s="159"/>
      <c r="D35" s="170"/>
      <c r="E35" s="165">
        <f t="shared" si="1"/>
        <v>0</v>
      </c>
      <c r="F35" s="151"/>
      <c r="G35" s="165">
        <f t="shared" si="26"/>
        <v>0</v>
      </c>
      <c r="H35" s="151"/>
      <c r="I35" s="165">
        <f t="shared" si="27"/>
        <v>0</v>
      </c>
      <c r="J35" s="151"/>
      <c r="K35" s="165" t="str">
        <f t="shared" si="4"/>
        <v>NA</v>
      </c>
      <c r="L35" s="141">
        <f t="shared" si="0"/>
        <v>0</v>
      </c>
      <c r="M35" s="152"/>
      <c r="N35" s="166">
        <f t="shared" si="5"/>
        <v>0</v>
      </c>
      <c r="O35" s="152"/>
      <c r="P35" s="166">
        <f t="shared" si="6"/>
        <v>0</v>
      </c>
      <c r="Q35" s="152"/>
      <c r="R35" s="166">
        <f t="shared" si="7"/>
        <v>0</v>
      </c>
      <c r="S35" s="152"/>
      <c r="T35" s="166" t="str">
        <f t="shared" si="8"/>
        <v>NA</v>
      </c>
      <c r="U35" s="142">
        <f t="shared" si="2"/>
        <v>0</v>
      </c>
      <c r="V35" s="151"/>
      <c r="W35" s="167">
        <f t="shared" si="9"/>
        <v>0</v>
      </c>
      <c r="X35" s="151"/>
      <c r="Y35" s="167">
        <f t="shared" si="10"/>
        <v>0</v>
      </c>
      <c r="Z35" s="151"/>
      <c r="AA35" s="167">
        <f t="shared" si="11"/>
        <v>0</v>
      </c>
      <c r="AB35" s="151"/>
      <c r="AC35" s="167" t="str">
        <f t="shared" si="3"/>
        <v>NA</v>
      </c>
      <c r="AD35" s="143">
        <f t="shared" si="28"/>
        <v>0</v>
      </c>
      <c r="AE35" s="134"/>
      <c r="AF35" s="135">
        <f t="shared" si="12"/>
        <v>0</v>
      </c>
      <c r="AG35" s="134"/>
      <c r="AH35" s="135" t="str">
        <f t="shared" si="13"/>
        <v>NA</v>
      </c>
      <c r="AI35" s="134"/>
      <c r="AJ35" s="135" t="str">
        <f t="shared" si="14"/>
        <v>NA</v>
      </c>
      <c r="AK35" s="133">
        <f t="shared" si="15"/>
        <v>0</v>
      </c>
      <c r="AL35" s="133"/>
      <c r="AM35" s="182" t="str">
        <f t="shared" si="16"/>
        <v>NA</v>
      </c>
      <c r="AN35" s="133"/>
      <c r="AO35" s="182" t="str">
        <f t="shared" si="17"/>
        <v>NA</v>
      </c>
      <c r="AP35" s="133"/>
      <c r="AQ35" s="182" t="str">
        <f t="shared" si="18"/>
        <v>NA</v>
      </c>
      <c r="AR35" s="133">
        <f t="shared" si="19"/>
        <v>0</v>
      </c>
      <c r="AS35" s="134"/>
      <c r="AT35" s="135">
        <f t="shared" si="20"/>
        <v>0</v>
      </c>
      <c r="AU35" s="134"/>
      <c r="AV35" s="135" t="str">
        <f t="shared" si="21"/>
        <v>NA</v>
      </c>
      <c r="AW35" s="134"/>
      <c r="AX35" s="135" t="str">
        <f t="shared" si="22"/>
        <v>NA</v>
      </c>
      <c r="AY35" s="133">
        <f t="shared" si="23"/>
        <v>0</v>
      </c>
      <c r="AZ35" s="168">
        <f t="shared" si="24"/>
        <v>0</v>
      </c>
      <c r="BA35" s="173">
        <f t="shared" si="25"/>
        <v>0</v>
      </c>
    </row>
    <row r="36" spans="1:53" ht="20.100000000000001" hidden="1" customHeight="1" outlineLevel="1" thickBot="1" x14ac:dyDescent="0.3">
      <c r="A36" s="151">
        <f>IF((A35+1)&lt;=Outline!$E$12,A35+1,0)</f>
        <v>28</v>
      </c>
      <c r="B36" s="154"/>
      <c r="C36" s="159"/>
      <c r="D36" s="170"/>
      <c r="E36" s="165">
        <f t="shared" si="1"/>
        <v>0</v>
      </c>
      <c r="F36" s="151"/>
      <c r="G36" s="165">
        <f t="shared" si="26"/>
        <v>0</v>
      </c>
      <c r="H36" s="151"/>
      <c r="I36" s="165">
        <f t="shared" si="27"/>
        <v>0</v>
      </c>
      <c r="J36" s="151"/>
      <c r="K36" s="165" t="str">
        <f t="shared" si="4"/>
        <v>NA</v>
      </c>
      <c r="L36" s="141">
        <f t="shared" si="0"/>
        <v>0</v>
      </c>
      <c r="M36" s="152"/>
      <c r="N36" s="166">
        <f t="shared" si="5"/>
        <v>0</v>
      </c>
      <c r="O36" s="152"/>
      <c r="P36" s="166">
        <f t="shared" si="6"/>
        <v>0</v>
      </c>
      <c r="Q36" s="152"/>
      <c r="R36" s="166">
        <f t="shared" si="7"/>
        <v>0</v>
      </c>
      <c r="S36" s="152"/>
      <c r="T36" s="166" t="str">
        <f t="shared" si="8"/>
        <v>NA</v>
      </c>
      <c r="U36" s="142">
        <f t="shared" si="2"/>
        <v>0</v>
      </c>
      <c r="V36" s="151"/>
      <c r="W36" s="167">
        <f t="shared" si="9"/>
        <v>0</v>
      </c>
      <c r="X36" s="151"/>
      <c r="Y36" s="167">
        <f t="shared" si="10"/>
        <v>0</v>
      </c>
      <c r="Z36" s="151"/>
      <c r="AA36" s="167">
        <f t="shared" si="11"/>
        <v>0</v>
      </c>
      <c r="AB36" s="151"/>
      <c r="AC36" s="167" t="str">
        <f t="shared" si="3"/>
        <v>NA</v>
      </c>
      <c r="AD36" s="143">
        <f t="shared" si="28"/>
        <v>0</v>
      </c>
      <c r="AE36" s="134"/>
      <c r="AF36" s="135">
        <f t="shared" si="12"/>
        <v>0</v>
      </c>
      <c r="AG36" s="134"/>
      <c r="AH36" s="135" t="str">
        <f t="shared" si="13"/>
        <v>NA</v>
      </c>
      <c r="AI36" s="134"/>
      <c r="AJ36" s="135" t="str">
        <f t="shared" si="14"/>
        <v>NA</v>
      </c>
      <c r="AK36" s="133">
        <f t="shared" si="15"/>
        <v>0</v>
      </c>
      <c r="AL36" s="133"/>
      <c r="AM36" s="182" t="str">
        <f t="shared" si="16"/>
        <v>NA</v>
      </c>
      <c r="AN36" s="133"/>
      <c r="AO36" s="182" t="str">
        <f t="shared" si="17"/>
        <v>NA</v>
      </c>
      <c r="AP36" s="133"/>
      <c r="AQ36" s="182" t="str">
        <f t="shared" si="18"/>
        <v>NA</v>
      </c>
      <c r="AR36" s="133">
        <f t="shared" si="19"/>
        <v>0</v>
      </c>
      <c r="AS36" s="134"/>
      <c r="AT36" s="135">
        <f t="shared" si="20"/>
        <v>0</v>
      </c>
      <c r="AU36" s="134"/>
      <c r="AV36" s="135" t="str">
        <f t="shared" si="21"/>
        <v>NA</v>
      </c>
      <c r="AW36" s="134"/>
      <c r="AX36" s="135" t="str">
        <f t="shared" si="22"/>
        <v>NA</v>
      </c>
      <c r="AY36" s="133">
        <f t="shared" si="23"/>
        <v>0</v>
      </c>
      <c r="AZ36" s="168">
        <f t="shared" si="24"/>
        <v>0</v>
      </c>
      <c r="BA36" s="173">
        <f t="shared" si="25"/>
        <v>0</v>
      </c>
    </row>
    <row r="37" spans="1:53" ht="20.100000000000001" hidden="1" customHeight="1" outlineLevel="1" thickBot="1" x14ac:dyDescent="0.3">
      <c r="A37" s="151">
        <f>IF((A36+1)&lt;=Outline!$E$12,A36+1,0)</f>
        <v>29</v>
      </c>
      <c r="B37" s="154"/>
      <c r="C37" s="159"/>
      <c r="D37" s="170"/>
      <c r="E37" s="165">
        <f t="shared" si="1"/>
        <v>0</v>
      </c>
      <c r="F37" s="151"/>
      <c r="G37" s="165">
        <f t="shared" si="26"/>
        <v>0</v>
      </c>
      <c r="H37" s="151"/>
      <c r="I37" s="165">
        <f t="shared" si="27"/>
        <v>0</v>
      </c>
      <c r="J37" s="151"/>
      <c r="K37" s="165" t="str">
        <f t="shared" si="4"/>
        <v>NA</v>
      </c>
      <c r="L37" s="141">
        <f t="shared" si="0"/>
        <v>0</v>
      </c>
      <c r="M37" s="152"/>
      <c r="N37" s="166">
        <f t="shared" si="5"/>
        <v>0</v>
      </c>
      <c r="O37" s="152"/>
      <c r="P37" s="166">
        <f t="shared" si="6"/>
        <v>0</v>
      </c>
      <c r="Q37" s="152"/>
      <c r="R37" s="166">
        <f t="shared" si="7"/>
        <v>0</v>
      </c>
      <c r="S37" s="152"/>
      <c r="T37" s="166" t="str">
        <f t="shared" si="8"/>
        <v>NA</v>
      </c>
      <c r="U37" s="142">
        <f t="shared" si="2"/>
        <v>0</v>
      </c>
      <c r="V37" s="151"/>
      <c r="W37" s="167">
        <f t="shared" si="9"/>
        <v>0</v>
      </c>
      <c r="X37" s="151"/>
      <c r="Y37" s="167">
        <f t="shared" si="10"/>
        <v>0</v>
      </c>
      <c r="Z37" s="151"/>
      <c r="AA37" s="167">
        <f t="shared" si="11"/>
        <v>0</v>
      </c>
      <c r="AB37" s="151"/>
      <c r="AC37" s="167" t="str">
        <f t="shared" si="3"/>
        <v>NA</v>
      </c>
      <c r="AD37" s="143">
        <f t="shared" si="28"/>
        <v>0</v>
      </c>
      <c r="AE37" s="134"/>
      <c r="AF37" s="135">
        <f t="shared" si="12"/>
        <v>0</v>
      </c>
      <c r="AG37" s="134"/>
      <c r="AH37" s="135" t="str">
        <f t="shared" si="13"/>
        <v>NA</v>
      </c>
      <c r="AI37" s="134"/>
      <c r="AJ37" s="135" t="str">
        <f t="shared" si="14"/>
        <v>NA</v>
      </c>
      <c r="AK37" s="133">
        <f t="shared" si="15"/>
        <v>0</v>
      </c>
      <c r="AL37" s="133"/>
      <c r="AM37" s="182" t="str">
        <f t="shared" si="16"/>
        <v>NA</v>
      </c>
      <c r="AN37" s="133"/>
      <c r="AO37" s="182" t="str">
        <f t="shared" si="17"/>
        <v>NA</v>
      </c>
      <c r="AP37" s="133"/>
      <c r="AQ37" s="182" t="str">
        <f t="shared" si="18"/>
        <v>NA</v>
      </c>
      <c r="AR37" s="133">
        <f t="shared" si="19"/>
        <v>0</v>
      </c>
      <c r="AS37" s="134"/>
      <c r="AT37" s="135">
        <f t="shared" si="20"/>
        <v>0</v>
      </c>
      <c r="AU37" s="134"/>
      <c r="AV37" s="135" t="str">
        <f t="shared" si="21"/>
        <v>NA</v>
      </c>
      <c r="AW37" s="134"/>
      <c r="AX37" s="135" t="str">
        <f t="shared" si="22"/>
        <v>NA</v>
      </c>
      <c r="AY37" s="133">
        <f t="shared" si="23"/>
        <v>0</v>
      </c>
      <c r="AZ37" s="168">
        <f t="shared" si="24"/>
        <v>0</v>
      </c>
      <c r="BA37" s="173">
        <f t="shared" si="25"/>
        <v>0</v>
      </c>
    </row>
    <row r="38" spans="1:53" ht="20.100000000000001" hidden="1" customHeight="1" outlineLevel="1" thickBot="1" x14ac:dyDescent="0.3">
      <c r="A38" s="151">
        <f>IF((A37+1)&lt;=Outline!$E$12,A37+1,0)</f>
        <v>30</v>
      </c>
      <c r="B38" s="154"/>
      <c r="C38" s="158"/>
      <c r="D38" s="170"/>
      <c r="E38" s="165">
        <f t="shared" si="1"/>
        <v>0</v>
      </c>
      <c r="F38" s="151"/>
      <c r="G38" s="165">
        <f t="shared" si="26"/>
        <v>0</v>
      </c>
      <c r="H38" s="151"/>
      <c r="I38" s="165">
        <f t="shared" si="27"/>
        <v>0</v>
      </c>
      <c r="J38" s="151"/>
      <c r="K38" s="165" t="str">
        <f t="shared" si="4"/>
        <v>NA</v>
      </c>
      <c r="L38" s="141">
        <f t="shared" si="0"/>
        <v>0</v>
      </c>
      <c r="M38" s="152"/>
      <c r="N38" s="166">
        <f t="shared" si="5"/>
        <v>0</v>
      </c>
      <c r="O38" s="152"/>
      <c r="P38" s="166">
        <f t="shared" si="6"/>
        <v>0</v>
      </c>
      <c r="Q38" s="152"/>
      <c r="R38" s="166">
        <f t="shared" si="7"/>
        <v>0</v>
      </c>
      <c r="S38" s="152"/>
      <c r="T38" s="166" t="str">
        <f t="shared" si="8"/>
        <v>NA</v>
      </c>
      <c r="U38" s="142">
        <f t="shared" si="2"/>
        <v>0</v>
      </c>
      <c r="V38" s="151"/>
      <c r="W38" s="167">
        <f t="shared" si="9"/>
        <v>0</v>
      </c>
      <c r="X38" s="151"/>
      <c r="Y38" s="167">
        <f t="shared" si="10"/>
        <v>0</v>
      </c>
      <c r="Z38" s="151"/>
      <c r="AA38" s="167">
        <f t="shared" si="11"/>
        <v>0</v>
      </c>
      <c r="AB38" s="151"/>
      <c r="AC38" s="167" t="str">
        <f t="shared" si="3"/>
        <v>NA</v>
      </c>
      <c r="AD38" s="143">
        <f t="shared" si="28"/>
        <v>0</v>
      </c>
      <c r="AE38" s="134"/>
      <c r="AF38" s="135">
        <f t="shared" si="12"/>
        <v>0</v>
      </c>
      <c r="AG38" s="134"/>
      <c r="AH38" s="135" t="str">
        <f t="shared" si="13"/>
        <v>NA</v>
      </c>
      <c r="AI38" s="134"/>
      <c r="AJ38" s="135" t="str">
        <f t="shared" si="14"/>
        <v>NA</v>
      </c>
      <c r="AK38" s="133">
        <f t="shared" si="15"/>
        <v>0</v>
      </c>
      <c r="AL38" s="133"/>
      <c r="AM38" s="182" t="str">
        <f t="shared" si="16"/>
        <v>NA</v>
      </c>
      <c r="AN38" s="133"/>
      <c r="AO38" s="182" t="str">
        <f t="shared" si="17"/>
        <v>NA</v>
      </c>
      <c r="AP38" s="133"/>
      <c r="AQ38" s="182" t="str">
        <f t="shared" si="18"/>
        <v>NA</v>
      </c>
      <c r="AR38" s="133">
        <f t="shared" si="19"/>
        <v>0</v>
      </c>
      <c r="AS38" s="134"/>
      <c r="AT38" s="135">
        <f t="shared" si="20"/>
        <v>0</v>
      </c>
      <c r="AU38" s="134"/>
      <c r="AV38" s="135" t="str">
        <f t="shared" si="21"/>
        <v>NA</v>
      </c>
      <c r="AW38" s="134"/>
      <c r="AX38" s="135" t="str">
        <f t="shared" si="22"/>
        <v>NA</v>
      </c>
      <c r="AY38" s="133">
        <f t="shared" si="23"/>
        <v>0</v>
      </c>
      <c r="AZ38" s="168">
        <f t="shared" si="24"/>
        <v>0</v>
      </c>
      <c r="BA38" s="173">
        <f t="shared" si="25"/>
        <v>0</v>
      </c>
    </row>
    <row r="39" spans="1:53" ht="20.100000000000001" hidden="1" customHeight="1" outlineLevel="1" thickBot="1" x14ac:dyDescent="0.3">
      <c r="A39" s="151">
        <f>IF((A38+1)&lt;=Outline!$E$12,A38+1,0)</f>
        <v>31</v>
      </c>
      <c r="B39" s="155"/>
      <c r="C39" s="162"/>
      <c r="D39" s="170"/>
      <c r="E39" s="165">
        <f t="shared" si="1"/>
        <v>0</v>
      </c>
      <c r="F39" s="151"/>
      <c r="G39" s="165">
        <f t="shared" si="26"/>
        <v>0</v>
      </c>
      <c r="H39" s="151"/>
      <c r="I39" s="165">
        <f t="shared" si="27"/>
        <v>0</v>
      </c>
      <c r="J39" s="151"/>
      <c r="K39" s="165" t="str">
        <f t="shared" si="4"/>
        <v>NA</v>
      </c>
      <c r="L39" s="141">
        <f t="shared" si="0"/>
        <v>0</v>
      </c>
      <c r="M39" s="152"/>
      <c r="N39" s="166">
        <f t="shared" si="5"/>
        <v>0</v>
      </c>
      <c r="O39" s="152"/>
      <c r="P39" s="166">
        <f t="shared" si="6"/>
        <v>0</v>
      </c>
      <c r="Q39" s="152"/>
      <c r="R39" s="166">
        <f t="shared" si="7"/>
        <v>0</v>
      </c>
      <c r="S39" s="152"/>
      <c r="T39" s="166" t="str">
        <f t="shared" si="8"/>
        <v>NA</v>
      </c>
      <c r="U39" s="142">
        <f t="shared" si="2"/>
        <v>0</v>
      </c>
      <c r="V39" s="151"/>
      <c r="W39" s="167">
        <f t="shared" si="9"/>
        <v>0</v>
      </c>
      <c r="X39" s="151"/>
      <c r="Y39" s="167">
        <f t="shared" si="10"/>
        <v>0</v>
      </c>
      <c r="Z39" s="151"/>
      <c r="AA39" s="167">
        <f t="shared" si="11"/>
        <v>0</v>
      </c>
      <c r="AB39" s="151"/>
      <c r="AC39" s="167" t="str">
        <f t="shared" si="3"/>
        <v>NA</v>
      </c>
      <c r="AD39" s="143">
        <f t="shared" si="28"/>
        <v>0</v>
      </c>
      <c r="AE39" s="134"/>
      <c r="AF39" s="135">
        <f t="shared" si="12"/>
        <v>0</v>
      </c>
      <c r="AG39" s="134"/>
      <c r="AH39" s="135" t="str">
        <f t="shared" si="13"/>
        <v>NA</v>
      </c>
      <c r="AI39" s="134"/>
      <c r="AJ39" s="135" t="str">
        <f t="shared" si="14"/>
        <v>NA</v>
      </c>
      <c r="AK39" s="133">
        <f t="shared" si="15"/>
        <v>0</v>
      </c>
      <c r="AL39" s="133"/>
      <c r="AM39" s="182" t="str">
        <f t="shared" si="16"/>
        <v>NA</v>
      </c>
      <c r="AN39" s="133"/>
      <c r="AO39" s="182" t="str">
        <f t="shared" si="17"/>
        <v>NA</v>
      </c>
      <c r="AP39" s="133"/>
      <c r="AQ39" s="182" t="str">
        <f t="shared" si="18"/>
        <v>NA</v>
      </c>
      <c r="AR39" s="133">
        <f t="shared" si="19"/>
        <v>0</v>
      </c>
      <c r="AS39" s="134"/>
      <c r="AT39" s="135">
        <f t="shared" si="20"/>
        <v>0</v>
      </c>
      <c r="AU39" s="134"/>
      <c r="AV39" s="135" t="str">
        <f t="shared" si="21"/>
        <v>NA</v>
      </c>
      <c r="AW39" s="134"/>
      <c r="AX39" s="135" t="str">
        <f t="shared" si="22"/>
        <v>NA</v>
      </c>
      <c r="AY39" s="133">
        <f t="shared" si="23"/>
        <v>0</v>
      </c>
      <c r="AZ39" s="168">
        <f t="shared" si="24"/>
        <v>0</v>
      </c>
      <c r="BA39" s="173">
        <f t="shared" si="25"/>
        <v>0</v>
      </c>
    </row>
    <row r="40" spans="1:53" ht="20.100000000000001" hidden="1" customHeight="1" outlineLevel="1" thickBot="1" x14ac:dyDescent="0.3">
      <c r="A40" s="151">
        <f>IF((A39+1)&lt;=Outline!$E$12,A39+1,0)</f>
        <v>32</v>
      </c>
      <c r="B40" s="155"/>
      <c r="C40" s="162"/>
      <c r="D40" s="170"/>
      <c r="E40" s="165">
        <f t="shared" si="1"/>
        <v>0</v>
      </c>
      <c r="F40" s="151"/>
      <c r="G40" s="165">
        <f t="shared" si="26"/>
        <v>0</v>
      </c>
      <c r="H40" s="151"/>
      <c r="I40" s="165">
        <f t="shared" si="27"/>
        <v>0</v>
      </c>
      <c r="J40" s="151"/>
      <c r="K40" s="165" t="str">
        <f t="shared" si="4"/>
        <v>NA</v>
      </c>
      <c r="L40" s="141">
        <f t="shared" ref="L40:L71" si="29">SUM(D40,F40,H40,J40)</f>
        <v>0</v>
      </c>
      <c r="M40" s="152"/>
      <c r="N40" s="166">
        <f t="shared" si="5"/>
        <v>0</v>
      </c>
      <c r="O40" s="152"/>
      <c r="P40" s="166">
        <f t="shared" si="6"/>
        <v>0</v>
      </c>
      <c r="Q40" s="152"/>
      <c r="R40" s="166">
        <f t="shared" si="7"/>
        <v>0</v>
      </c>
      <c r="S40" s="152"/>
      <c r="T40" s="166" t="str">
        <f t="shared" si="8"/>
        <v>NA</v>
      </c>
      <c r="U40" s="142">
        <f t="shared" si="2"/>
        <v>0</v>
      </c>
      <c r="V40" s="151"/>
      <c r="W40" s="167">
        <f t="shared" si="9"/>
        <v>0</v>
      </c>
      <c r="X40" s="151"/>
      <c r="Y40" s="167">
        <f t="shared" si="10"/>
        <v>0</v>
      </c>
      <c r="Z40" s="151"/>
      <c r="AA40" s="167">
        <f t="shared" si="11"/>
        <v>0</v>
      </c>
      <c r="AB40" s="151"/>
      <c r="AC40" s="167" t="str">
        <f t="shared" si="3"/>
        <v>NA</v>
      </c>
      <c r="AD40" s="143">
        <f t="shared" si="28"/>
        <v>0</v>
      </c>
      <c r="AE40" s="134"/>
      <c r="AF40" s="135">
        <f t="shared" si="12"/>
        <v>0</v>
      </c>
      <c r="AG40" s="134"/>
      <c r="AH40" s="135" t="str">
        <f t="shared" si="13"/>
        <v>NA</v>
      </c>
      <c r="AI40" s="134"/>
      <c r="AJ40" s="135" t="str">
        <f t="shared" si="14"/>
        <v>NA</v>
      </c>
      <c r="AK40" s="133">
        <f t="shared" si="15"/>
        <v>0</v>
      </c>
      <c r="AL40" s="133"/>
      <c r="AM40" s="182" t="str">
        <f t="shared" si="16"/>
        <v>NA</v>
      </c>
      <c r="AN40" s="133"/>
      <c r="AO40" s="182" t="str">
        <f t="shared" si="17"/>
        <v>NA</v>
      </c>
      <c r="AP40" s="133"/>
      <c r="AQ40" s="182" t="str">
        <f t="shared" si="18"/>
        <v>NA</v>
      </c>
      <c r="AR40" s="133">
        <f t="shared" si="19"/>
        <v>0</v>
      </c>
      <c r="AS40" s="134"/>
      <c r="AT40" s="135">
        <f t="shared" si="20"/>
        <v>0</v>
      </c>
      <c r="AU40" s="134"/>
      <c r="AV40" s="135" t="str">
        <f t="shared" si="21"/>
        <v>NA</v>
      </c>
      <c r="AW40" s="134"/>
      <c r="AX40" s="135" t="str">
        <f t="shared" si="22"/>
        <v>NA</v>
      </c>
      <c r="AY40" s="133">
        <f t="shared" si="23"/>
        <v>0</v>
      </c>
      <c r="AZ40" s="168">
        <f t="shared" si="24"/>
        <v>0</v>
      </c>
      <c r="BA40" s="173">
        <f t="shared" si="25"/>
        <v>0</v>
      </c>
    </row>
    <row r="41" spans="1:53" ht="20.100000000000001" hidden="1" customHeight="1" outlineLevel="1" thickBot="1" x14ac:dyDescent="0.3">
      <c r="A41" s="151">
        <f>IF((A40+1)&lt;=Outline!$E$12,A40+1,0)</f>
        <v>33</v>
      </c>
      <c r="B41" s="157"/>
      <c r="C41" s="160"/>
      <c r="D41" s="170"/>
      <c r="E41" s="165">
        <f t="shared" si="1"/>
        <v>0</v>
      </c>
      <c r="F41" s="151"/>
      <c r="G41" s="165">
        <f t="shared" si="26"/>
        <v>0</v>
      </c>
      <c r="H41" s="151"/>
      <c r="I41" s="165">
        <f t="shared" si="27"/>
        <v>0</v>
      </c>
      <c r="J41" s="151"/>
      <c r="K41" s="165" t="str">
        <f t="shared" si="4"/>
        <v>NA</v>
      </c>
      <c r="L41" s="141">
        <f t="shared" si="29"/>
        <v>0</v>
      </c>
      <c r="M41" s="152"/>
      <c r="N41" s="166">
        <f t="shared" si="5"/>
        <v>0</v>
      </c>
      <c r="O41" s="152"/>
      <c r="P41" s="166">
        <f t="shared" si="6"/>
        <v>0</v>
      </c>
      <c r="Q41" s="152"/>
      <c r="R41" s="166">
        <f t="shared" si="7"/>
        <v>0</v>
      </c>
      <c r="S41" s="152"/>
      <c r="T41" s="166" t="str">
        <f t="shared" si="8"/>
        <v>NA</v>
      </c>
      <c r="U41" s="142">
        <f t="shared" si="2"/>
        <v>0</v>
      </c>
      <c r="V41" s="151"/>
      <c r="W41" s="167">
        <f t="shared" si="9"/>
        <v>0</v>
      </c>
      <c r="X41" s="151"/>
      <c r="Y41" s="167">
        <f t="shared" si="10"/>
        <v>0</v>
      </c>
      <c r="Z41" s="151"/>
      <c r="AA41" s="167">
        <f t="shared" si="11"/>
        <v>0</v>
      </c>
      <c r="AB41" s="151"/>
      <c r="AC41" s="167" t="str">
        <f t="shared" si="3"/>
        <v>NA</v>
      </c>
      <c r="AD41" s="143">
        <f t="shared" si="28"/>
        <v>0</v>
      </c>
      <c r="AE41" s="134"/>
      <c r="AF41" s="135">
        <f t="shared" si="12"/>
        <v>0</v>
      </c>
      <c r="AG41" s="134"/>
      <c r="AH41" s="135" t="str">
        <f t="shared" si="13"/>
        <v>NA</v>
      </c>
      <c r="AI41" s="134"/>
      <c r="AJ41" s="135" t="str">
        <f t="shared" si="14"/>
        <v>NA</v>
      </c>
      <c r="AK41" s="133">
        <f t="shared" si="15"/>
        <v>0</v>
      </c>
      <c r="AL41" s="133"/>
      <c r="AM41" s="182" t="str">
        <f t="shared" si="16"/>
        <v>NA</v>
      </c>
      <c r="AN41" s="133"/>
      <c r="AO41" s="182" t="str">
        <f t="shared" si="17"/>
        <v>NA</v>
      </c>
      <c r="AP41" s="133"/>
      <c r="AQ41" s="182" t="str">
        <f t="shared" si="18"/>
        <v>NA</v>
      </c>
      <c r="AR41" s="133">
        <f t="shared" si="19"/>
        <v>0</v>
      </c>
      <c r="AS41" s="134"/>
      <c r="AT41" s="135">
        <f t="shared" si="20"/>
        <v>0</v>
      </c>
      <c r="AU41" s="134"/>
      <c r="AV41" s="135" t="str">
        <f t="shared" si="21"/>
        <v>NA</v>
      </c>
      <c r="AW41" s="134"/>
      <c r="AX41" s="135" t="str">
        <f t="shared" si="22"/>
        <v>NA</v>
      </c>
      <c r="AY41" s="133">
        <f t="shared" si="23"/>
        <v>0</v>
      </c>
      <c r="AZ41" s="168">
        <f t="shared" si="24"/>
        <v>0</v>
      </c>
      <c r="BA41" s="173">
        <f t="shared" si="25"/>
        <v>0</v>
      </c>
    </row>
    <row r="42" spans="1:53" ht="20.100000000000001" hidden="1" customHeight="1" outlineLevel="1" x14ac:dyDescent="0.25">
      <c r="A42" s="151">
        <f>IF((A41+1)&lt;=Outline!$E$12,A41+1,0)</f>
        <v>34</v>
      </c>
      <c r="B42" s="93"/>
      <c r="C42" s="140"/>
      <c r="D42" s="170"/>
      <c r="E42" s="165">
        <f t="shared" si="1"/>
        <v>0</v>
      </c>
      <c r="F42" s="151"/>
      <c r="G42" s="165">
        <f t="shared" si="26"/>
        <v>0</v>
      </c>
      <c r="H42" s="151"/>
      <c r="I42" s="165">
        <f t="shared" si="27"/>
        <v>0</v>
      </c>
      <c r="J42" s="151"/>
      <c r="K42" s="165" t="str">
        <f t="shared" si="4"/>
        <v>NA</v>
      </c>
      <c r="L42" s="141">
        <f t="shared" si="29"/>
        <v>0</v>
      </c>
      <c r="M42" s="152"/>
      <c r="N42" s="166">
        <f t="shared" si="5"/>
        <v>0</v>
      </c>
      <c r="O42" s="152"/>
      <c r="P42" s="166">
        <f t="shared" si="6"/>
        <v>0</v>
      </c>
      <c r="Q42" s="152"/>
      <c r="R42" s="166">
        <f t="shared" si="7"/>
        <v>0</v>
      </c>
      <c r="S42" s="152"/>
      <c r="T42" s="166" t="str">
        <f t="shared" si="8"/>
        <v>NA</v>
      </c>
      <c r="U42" s="142">
        <f t="shared" si="2"/>
        <v>0</v>
      </c>
      <c r="V42" s="151"/>
      <c r="W42" s="167">
        <f t="shared" si="9"/>
        <v>0</v>
      </c>
      <c r="X42" s="151"/>
      <c r="Y42" s="167">
        <f t="shared" si="10"/>
        <v>0</v>
      </c>
      <c r="Z42" s="151"/>
      <c r="AA42" s="167">
        <f t="shared" si="11"/>
        <v>0</v>
      </c>
      <c r="AB42" s="151"/>
      <c r="AC42" s="167" t="str">
        <f t="shared" si="3"/>
        <v>NA</v>
      </c>
      <c r="AD42" s="143">
        <f t="shared" si="28"/>
        <v>0</v>
      </c>
      <c r="AE42" s="134"/>
      <c r="AF42" s="135">
        <f t="shared" si="12"/>
        <v>0</v>
      </c>
      <c r="AG42" s="134"/>
      <c r="AH42" s="135" t="str">
        <f t="shared" si="13"/>
        <v>NA</v>
      </c>
      <c r="AI42" s="134"/>
      <c r="AJ42" s="135" t="str">
        <f t="shared" si="14"/>
        <v>NA</v>
      </c>
      <c r="AK42" s="133">
        <f t="shared" si="15"/>
        <v>0</v>
      </c>
      <c r="AL42" s="133"/>
      <c r="AM42" s="182" t="str">
        <f t="shared" si="16"/>
        <v>NA</v>
      </c>
      <c r="AN42" s="133"/>
      <c r="AO42" s="182" t="str">
        <f t="shared" si="17"/>
        <v>NA</v>
      </c>
      <c r="AP42" s="133"/>
      <c r="AQ42" s="182" t="str">
        <f t="shared" si="18"/>
        <v>NA</v>
      </c>
      <c r="AR42" s="133">
        <f t="shared" si="19"/>
        <v>0</v>
      </c>
      <c r="AS42" s="134"/>
      <c r="AT42" s="135">
        <f t="shared" si="20"/>
        <v>0</v>
      </c>
      <c r="AU42" s="134"/>
      <c r="AV42" s="135" t="str">
        <f t="shared" si="21"/>
        <v>NA</v>
      </c>
      <c r="AW42" s="134"/>
      <c r="AX42" s="135" t="str">
        <f t="shared" si="22"/>
        <v>NA</v>
      </c>
      <c r="AY42" s="133">
        <f t="shared" si="23"/>
        <v>0</v>
      </c>
      <c r="AZ42" s="168">
        <f t="shared" si="24"/>
        <v>0</v>
      </c>
      <c r="BA42" s="173">
        <f t="shared" si="25"/>
        <v>0</v>
      </c>
    </row>
    <row r="43" spans="1:53" ht="20.100000000000001" hidden="1" customHeight="1" outlineLevel="1" x14ac:dyDescent="0.25">
      <c r="A43" s="151">
        <f>IF((A42+1)&lt;=Outline!$E$12,A42+1,0)</f>
        <v>35</v>
      </c>
      <c r="B43" s="93"/>
      <c r="C43" s="140"/>
      <c r="D43" s="170"/>
      <c r="E43" s="165">
        <f t="shared" si="1"/>
        <v>0</v>
      </c>
      <c r="F43" s="151"/>
      <c r="G43" s="165">
        <f t="shared" si="26"/>
        <v>0</v>
      </c>
      <c r="H43" s="151"/>
      <c r="I43" s="165">
        <f t="shared" si="27"/>
        <v>0</v>
      </c>
      <c r="J43" s="151"/>
      <c r="K43" s="165" t="str">
        <f t="shared" si="4"/>
        <v>NA</v>
      </c>
      <c r="L43" s="141">
        <f t="shared" si="29"/>
        <v>0</v>
      </c>
      <c r="M43" s="152"/>
      <c r="N43" s="166">
        <f t="shared" si="5"/>
        <v>0</v>
      </c>
      <c r="O43" s="152"/>
      <c r="P43" s="166">
        <f t="shared" si="6"/>
        <v>0</v>
      </c>
      <c r="Q43" s="152"/>
      <c r="R43" s="166">
        <f t="shared" si="7"/>
        <v>0</v>
      </c>
      <c r="S43" s="152"/>
      <c r="T43" s="166" t="str">
        <f t="shared" si="8"/>
        <v>NA</v>
      </c>
      <c r="U43" s="142">
        <f t="shared" si="2"/>
        <v>0</v>
      </c>
      <c r="V43" s="151"/>
      <c r="W43" s="167">
        <f t="shared" si="9"/>
        <v>0</v>
      </c>
      <c r="X43" s="151"/>
      <c r="Y43" s="167">
        <f t="shared" si="10"/>
        <v>0</v>
      </c>
      <c r="Z43" s="151"/>
      <c r="AA43" s="167">
        <f t="shared" si="11"/>
        <v>0</v>
      </c>
      <c r="AB43" s="151"/>
      <c r="AC43" s="167" t="str">
        <f t="shared" si="3"/>
        <v>NA</v>
      </c>
      <c r="AD43" s="143">
        <f t="shared" si="28"/>
        <v>0</v>
      </c>
      <c r="AE43" s="134"/>
      <c r="AF43" s="135">
        <f t="shared" si="12"/>
        <v>0</v>
      </c>
      <c r="AG43" s="134"/>
      <c r="AH43" s="135" t="str">
        <f t="shared" si="13"/>
        <v>NA</v>
      </c>
      <c r="AI43" s="134"/>
      <c r="AJ43" s="135" t="str">
        <f t="shared" si="14"/>
        <v>NA</v>
      </c>
      <c r="AK43" s="133">
        <f t="shared" si="15"/>
        <v>0</v>
      </c>
      <c r="AL43" s="133"/>
      <c r="AM43" s="182" t="str">
        <f t="shared" si="16"/>
        <v>NA</v>
      </c>
      <c r="AN43" s="133"/>
      <c r="AO43" s="182" t="str">
        <f t="shared" si="17"/>
        <v>NA</v>
      </c>
      <c r="AP43" s="133"/>
      <c r="AQ43" s="182" t="str">
        <f t="shared" si="18"/>
        <v>NA</v>
      </c>
      <c r="AR43" s="133">
        <f t="shared" si="19"/>
        <v>0</v>
      </c>
      <c r="AS43" s="134"/>
      <c r="AT43" s="135">
        <f t="shared" si="20"/>
        <v>0</v>
      </c>
      <c r="AU43" s="134"/>
      <c r="AV43" s="135" t="str">
        <f t="shared" si="21"/>
        <v>NA</v>
      </c>
      <c r="AW43" s="134"/>
      <c r="AX43" s="135" t="str">
        <f t="shared" si="22"/>
        <v>NA</v>
      </c>
      <c r="AY43" s="133">
        <f t="shared" si="23"/>
        <v>0</v>
      </c>
      <c r="AZ43" s="168">
        <f t="shared" si="24"/>
        <v>0</v>
      </c>
      <c r="BA43" s="173">
        <f t="shared" si="25"/>
        <v>0</v>
      </c>
    </row>
    <row r="44" spans="1:53" ht="20.100000000000001" hidden="1" customHeight="1" outlineLevel="1" x14ac:dyDescent="0.25">
      <c r="A44" s="151">
        <f>IF((A43+1)&lt;=Outline!$E$12,A43+1,0)</f>
        <v>36</v>
      </c>
      <c r="B44" s="93"/>
      <c r="C44" s="140"/>
      <c r="D44" s="170"/>
      <c r="E44" s="165">
        <f t="shared" si="1"/>
        <v>0</v>
      </c>
      <c r="F44" s="151"/>
      <c r="G44" s="165">
        <f t="shared" si="26"/>
        <v>0</v>
      </c>
      <c r="H44" s="151"/>
      <c r="I44" s="165">
        <f t="shared" si="27"/>
        <v>0</v>
      </c>
      <c r="J44" s="151"/>
      <c r="K44" s="165" t="str">
        <f t="shared" si="4"/>
        <v>NA</v>
      </c>
      <c r="L44" s="141">
        <f t="shared" si="29"/>
        <v>0</v>
      </c>
      <c r="M44" s="152"/>
      <c r="N44" s="166">
        <f t="shared" si="5"/>
        <v>0</v>
      </c>
      <c r="O44" s="152"/>
      <c r="P44" s="166">
        <f t="shared" si="6"/>
        <v>0</v>
      </c>
      <c r="Q44" s="152"/>
      <c r="R44" s="166">
        <f t="shared" si="7"/>
        <v>0</v>
      </c>
      <c r="S44" s="152"/>
      <c r="T44" s="166" t="str">
        <f t="shared" si="8"/>
        <v>NA</v>
      </c>
      <c r="U44" s="142">
        <f t="shared" si="2"/>
        <v>0</v>
      </c>
      <c r="V44" s="151"/>
      <c r="W44" s="167">
        <f t="shared" si="9"/>
        <v>0</v>
      </c>
      <c r="X44" s="151"/>
      <c r="Y44" s="167">
        <f t="shared" si="10"/>
        <v>0</v>
      </c>
      <c r="Z44" s="151"/>
      <c r="AA44" s="167">
        <f t="shared" si="11"/>
        <v>0</v>
      </c>
      <c r="AB44" s="151"/>
      <c r="AC44" s="167" t="str">
        <f t="shared" si="3"/>
        <v>NA</v>
      </c>
      <c r="AD44" s="143">
        <f t="shared" si="28"/>
        <v>0</v>
      </c>
      <c r="AE44" s="134"/>
      <c r="AF44" s="135">
        <f t="shared" si="12"/>
        <v>0</v>
      </c>
      <c r="AG44" s="134"/>
      <c r="AH44" s="135" t="str">
        <f t="shared" si="13"/>
        <v>NA</v>
      </c>
      <c r="AI44" s="134"/>
      <c r="AJ44" s="135" t="str">
        <f t="shared" si="14"/>
        <v>NA</v>
      </c>
      <c r="AK44" s="133">
        <f t="shared" si="15"/>
        <v>0</v>
      </c>
      <c r="AL44" s="133"/>
      <c r="AM44" s="182" t="str">
        <f t="shared" si="16"/>
        <v>NA</v>
      </c>
      <c r="AN44" s="133"/>
      <c r="AO44" s="182" t="str">
        <f t="shared" si="17"/>
        <v>NA</v>
      </c>
      <c r="AP44" s="133"/>
      <c r="AQ44" s="182" t="str">
        <f t="shared" si="18"/>
        <v>NA</v>
      </c>
      <c r="AR44" s="133">
        <f t="shared" si="19"/>
        <v>0</v>
      </c>
      <c r="AS44" s="134"/>
      <c r="AT44" s="135">
        <f t="shared" si="20"/>
        <v>0</v>
      </c>
      <c r="AU44" s="134"/>
      <c r="AV44" s="135" t="str">
        <f t="shared" si="21"/>
        <v>NA</v>
      </c>
      <c r="AW44" s="134"/>
      <c r="AX44" s="135" t="str">
        <f t="shared" si="22"/>
        <v>NA</v>
      </c>
      <c r="AY44" s="133">
        <f t="shared" si="23"/>
        <v>0</v>
      </c>
      <c r="AZ44" s="168">
        <f t="shared" si="24"/>
        <v>0</v>
      </c>
      <c r="BA44" s="173">
        <f t="shared" si="25"/>
        <v>0</v>
      </c>
    </row>
    <row r="45" spans="1:53" ht="20.100000000000001" hidden="1" customHeight="1" outlineLevel="1" x14ac:dyDescent="0.25">
      <c r="A45" s="151">
        <f>IF((A44+1)&lt;=Outline!$E$12,A44+1,0)</f>
        <v>37</v>
      </c>
      <c r="B45" s="94"/>
      <c r="C45" s="140"/>
      <c r="D45" s="170"/>
      <c r="E45" s="165">
        <f t="shared" si="1"/>
        <v>0</v>
      </c>
      <c r="F45" s="151"/>
      <c r="G45" s="165">
        <f t="shared" si="26"/>
        <v>0</v>
      </c>
      <c r="H45" s="151"/>
      <c r="I45" s="165">
        <f t="shared" si="27"/>
        <v>0</v>
      </c>
      <c r="J45" s="151"/>
      <c r="K45" s="165" t="str">
        <f t="shared" si="4"/>
        <v>NA</v>
      </c>
      <c r="L45" s="141">
        <f t="shared" si="29"/>
        <v>0</v>
      </c>
      <c r="M45" s="152"/>
      <c r="N45" s="166">
        <f t="shared" si="5"/>
        <v>0</v>
      </c>
      <c r="O45" s="152"/>
      <c r="P45" s="166">
        <f t="shared" si="6"/>
        <v>0</v>
      </c>
      <c r="Q45" s="152"/>
      <c r="R45" s="166">
        <f t="shared" si="7"/>
        <v>0</v>
      </c>
      <c r="S45" s="152"/>
      <c r="T45" s="166" t="str">
        <f t="shared" si="8"/>
        <v>NA</v>
      </c>
      <c r="U45" s="142">
        <f t="shared" si="2"/>
        <v>0</v>
      </c>
      <c r="V45" s="151"/>
      <c r="W45" s="167">
        <f t="shared" si="9"/>
        <v>0</v>
      </c>
      <c r="X45" s="151"/>
      <c r="Y45" s="167">
        <f t="shared" si="10"/>
        <v>0</v>
      </c>
      <c r="Z45" s="151"/>
      <c r="AA45" s="167">
        <f t="shared" si="11"/>
        <v>0</v>
      </c>
      <c r="AB45" s="151"/>
      <c r="AC45" s="167" t="str">
        <f t="shared" si="3"/>
        <v>NA</v>
      </c>
      <c r="AD45" s="143">
        <f t="shared" si="28"/>
        <v>0</v>
      </c>
      <c r="AE45" s="134"/>
      <c r="AF45" s="135">
        <f t="shared" si="12"/>
        <v>0</v>
      </c>
      <c r="AG45" s="134"/>
      <c r="AH45" s="135" t="str">
        <f t="shared" si="13"/>
        <v>NA</v>
      </c>
      <c r="AI45" s="134"/>
      <c r="AJ45" s="135" t="str">
        <f t="shared" si="14"/>
        <v>NA</v>
      </c>
      <c r="AK45" s="133">
        <f t="shared" si="15"/>
        <v>0</v>
      </c>
      <c r="AL45" s="133"/>
      <c r="AM45" s="182" t="str">
        <f t="shared" si="16"/>
        <v>NA</v>
      </c>
      <c r="AN45" s="133"/>
      <c r="AO45" s="182" t="str">
        <f t="shared" si="17"/>
        <v>NA</v>
      </c>
      <c r="AP45" s="133"/>
      <c r="AQ45" s="182" t="str">
        <f t="shared" si="18"/>
        <v>NA</v>
      </c>
      <c r="AR45" s="133">
        <f t="shared" si="19"/>
        <v>0</v>
      </c>
      <c r="AS45" s="134"/>
      <c r="AT45" s="135">
        <f t="shared" si="20"/>
        <v>0</v>
      </c>
      <c r="AU45" s="134"/>
      <c r="AV45" s="135" t="str">
        <f t="shared" si="21"/>
        <v>NA</v>
      </c>
      <c r="AW45" s="134"/>
      <c r="AX45" s="135" t="str">
        <f t="shared" si="22"/>
        <v>NA</v>
      </c>
      <c r="AY45" s="133">
        <f t="shared" si="23"/>
        <v>0</v>
      </c>
      <c r="AZ45" s="168">
        <f t="shared" si="24"/>
        <v>0</v>
      </c>
      <c r="BA45" s="173">
        <f t="shared" si="25"/>
        <v>0</v>
      </c>
    </row>
    <row r="46" spans="1:53" ht="20.100000000000001" hidden="1" customHeight="1" outlineLevel="1" x14ac:dyDescent="0.25">
      <c r="A46" s="151">
        <f>IF((A45+1)&lt;=Outline!$E$12,A45+1,0)</f>
        <v>38</v>
      </c>
      <c r="B46" s="94"/>
      <c r="C46" s="140"/>
      <c r="D46" s="170"/>
      <c r="E46" s="165">
        <f t="shared" si="1"/>
        <v>0</v>
      </c>
      <c r="F46" s="151"/>
      <c r="G46" s="165">
        <f t="shared" si="26"/>
        <v>0</v>
      </c>
      <c r="H46" s="151"/>
      <c r="I46" s="165">
        <f t="shared" si="27"/>
        <v>0</v>
      </c>
      <c r="J46" s="151"/>
      <c r="K46" s="165" t="str">
        <f t="shared" si="4"/>
        <v>NA</v>
      </c>
      <c r="L46" s="141">
        <f t="shared" si="29"/>
        <v>0</v>
      </c>
      <c r="M46" s="152"/>
      <c r="N46" s="166">
        <f t="shared" si="5"/>
        <v>0</v>
      </c>
      <c r="O46" s="152"/>
      <c r="P46" s="166">
        <f t="shared" si="6"/>
        <v>0</v>
      </c>
      <c r="Q46" s="152"/>
      <c r="R46" s="166">
        <f t="shared" si="7"/>
        <v>0</v>
      </c>
      <c r="S46" s="152"/>
      <c r="T46" s="166" t="str">
        <f t="shared" si="8"/>
        <v>NA</v>
      </c>
      <c r="U46" s="142">
        <f t="shared" si="2"/>
        <v>0</v>
      </c>
      <c r="V46" s="151"/>
      <c r="W46" s="167">
        <f t="shared" si="9"/>
        <v>0</v>
      </c>
      <c r="X46" s="151"/>
      <c r="Y46" s="167">
        <f t="shared" si="10"/>
        <v>0</v>
      </c>
      <c r="Z46" s="151"/>
      <c r="AA46" s="167">
        <f t="shared" si="11"/>
        <v>0</v>
      </c>
      <c r="AB46" s="151"/>
      <c r="AC46" s="167" t="str">
        <f t="shared" si="3"/>
        <v>NA</v>
      </c>
      <c r="AD46" s="143">
        <f t="shared" si="28"/>
        <v>0</v>
      </c>
      <c r="AE46" s="134"/>
      <c r="AF46" s="135">
        <f t="shared" si="12"/>
        <v>0</v>
      </c>
      <c r="AG46" s="134"/>
      <c r="AH46" s="135" t="str">
        <f t="shared" si="13"/>
        <v>NA</v>
      </c>
      <c r="AI46" s="134"/>
      <c r="AJ46" s="135" t="str">
        <f t="shared" si="14"/>
        <v>NA</v>
      </c>
      <c r="AK46" s="133">
        <f t="shared" si="15"/>
        <v>0</v>
      </c>
      <c r="AL46" s="133"/>
      <c r="AM46" s="182" t="str">
        <f t="shared" si="16"/>
        <v>NA</v>
      </c>
      <c r="AN46" s="133"/>
      <c r="AO46" s="182" t="str">
        <f t="shared" si="17"/>
        <v>NA</v>
      </c>
      <c r="AP46" s="133"/>
      <c r="AQ46" s="182" t="str">
        <f t="shared" si="18"/>
        <v>NA</v>
      </c>
      <c r="AR46" s="133">
        <f t="shared" si="19"/>
        <v>0</v>
      </c>
      <c r="AS46" s="134"/>
      <c r="AT46" s="135">
        <f t="shared" si="20"/>
        <v>0</v>
      </c>
      <c r="AU46" s="134"/>
      <c r="AV46" s="135" t="str">
        <f t="shared" si="21"/>
        <v>NA</v>
      </c>
      <c r="AW46" s="134"/>
      <c r="AX46" s="135" t="str">
        <f t="shared" si="22"/>
        <v>NA</v>
      </c>
      <c r="AY46" s="133">
        <f t="shared" si="23"/>
        <v>0</v>
      </c>
      <c r="AZ46" s="168">
        <f t="shared" si="24"/>
        <v>0</v>
      </c>
      <c r="BA46" s="173">
        <f t="shared" si="25"/>
        <v>0</v>
      </c>
    </row>
    <row r="47" spans="1:53" ht="20.100000000000001" hidden="1" customHeight="1" outlineLevel="1" x14ac:dyDescent="0.25">
      <c r="A47" s="151">
        <f>IF((A46+1)&lt;=Outline!$E$12,A46+1,0)</f>
        <v>39</v>
      </c>
      <c r="B47" s="94"/>
      <c r="C47" s="140"/>
      <c r="D47" s="170"/>
      <c r="E47" s="165">
        <f t="shared" si="1"/>
        <v>0</v>
      </c>
      <c r="F47" s="151"/>
      <c r="G47" s="165">
        <f t="shared" si="26"/>
        <v>0</v>
      </c>
      <c r="H47" s="151"/>
      <c r="I47" s="165">
        <f t="shared" si="27"/>
        <v>0</v>
      </c>
      <c r="J47" s="151"/>
      <c r="K47" s="165" t="str">
        <f t="shared" si="4"/>
        <v>NA</v>
      </c>
      <c r="L47" s="141">
        <f t="shared" si="29"/>
        <v>0</v>
      </c>
      <c r="M47" s="152"/>
      <c r="N47" s="166">
        <f t="shared" si="5"/>
        <v>0</v>
      </c>
      <c r="O47" s="152"/>
      <c r="P47" s="166">
        <f t="shared" si="6"/>
        <v>0</v>
      </c>
      <c r="Q47" s="152"/>
      <c r="R47" s="166">
        <f t="shared" si="7"/>
        <v>0</v>
      </c>
      <c r="S47" s="152"/>
      <c r="T47" s="166" t="str">
        <f t="shared" si="8"/>
        <v>NA</v>
      </c>
      <c r="U47" s="142">
        <f t="shared" si="2"/>
        <v>0</v>
      </c>
      <c r="V47" s="151"/>
      <c r="W47" s="167">
        <f t="shared" si="9"/>
        <v>0</v>
      </c>
      <c r="X47" s="151"/>
      <c r="Y47" s="167">
        <f t="shared" si="10"/>
        <v>0</v>
      </c>
      <c r="Z47" s="151"/>
      <c r="AA47" s="167">
        <f t="shared" si="11"/>
        <v>0</v>
      </c>
      <c r="AB47" s="151"/>
      <c r="AC47" s="167" t="str">
        <f t="shared" si="3"/>
        <v>NA</v>
      </c>
      <c r="AD47" s="143">
        <f t="shared" si="28"/>
        <v>0</v>
      </c>
      <c r="AE47" s="134"/>
      <c r="AF47" s="135">
        <f t="shared" si="12"/>
        <v>0</v>
      </c>
      <c r="AG47" s="134"/>
      <c r="AH47" s="135" t="str">
        <f t="shared" si="13"/>
        <v>NA</v>
      </c>
      <c r="AI47" s="134"/>
      <c r="AJ47" s="135" t="str">
        <f t="shared" si="14"/>
        <v>NA</v>
      </c>
      <c r="AK47" s="133">
        <f t="shared" si="15"/>
        <v>0</v>
      </c>
      <c r="AL47" s="133"/>
      <c r="AM47" s="182" t="str">
        <f t="shared" si="16"/>
        <v>NA</v>
      </c>
      <c r="AN47" s="133"/>
      <c r="AO47" s="182" t="str">
        <f t="shared" si="17"/>
        <v>NA</v>
      </c>
      <c r="AP47" s="133"/>
      <c r="AQ47" s="182" t="str">
        <f t="shared" si="18"/>
        <v>NA</v>
      </c>
      <c r="AR47" s="133">
        <f t="shared" si="19"/>
        <v>0</v>
      </c>
      <c r="AS47" s="134"/>
      <c r="AT47" s="135">
        <f t="shared" si="20"/>
        <v>0</v>
      </c>
      <c r="AU47" s="134"/>
      <c r="AV47" s="135" t="str">
        <f t="shared" si="21"/>
        <v>NA</v>
      </c>
      <c r="AW47" s="134"/>
      <c r="AX47" s="135" t="str">
        <f t="shared" si="22"/>
        <v>NA</v>
      </c>
      <c r="AY47" s="133">
        <f t="shared" si="23"/>
        <v>0</v>
      </c>
      <c r="AZ47" s="168">
        <f t="shared" si="24"/>
        <v>0</v>
      </c>
      <c r="BA47" s="173">
        <f t="shared" si="25"/>
        <v>0</v>
      </c>
    </row>
    <row r="48" spans="1:53" ht="20.100000000000001" hidden="1" customHeight="1" outlineLevel="1" x14ac:dyDescent="0.25">
      <c r="A48" s="151">
        <f>IF((A47+1)&lt;=Outline!$E$12,A47+1,0)</f>
        <v>40</v>
      </c>
      <c r="B48" s="94"/>
      <c r="C48" s="140"/>
      <c r="D48" s="170"/>
      <c r="E48" s="165">
        <f t="shared" si="1"/>
        <v>0</v>
      </c>
      <c r="F48" s="151"/>
      <c r="G48" s="165">
        <f t="shared" si="26"/>
        <v>0</v>
      </c>
      <c r="H48" s="151"/>
      <c r="I48" s="165">
        <f t="shared" si="27"/>
        <v>0</v>
      </c>
      <c r="J48" s="151"/>
      <c r="K48" s="165" t="str">
        <f t="shared" si="4"/>
        <v>NA</v>
      </c>
      <c r="L48" s="141">
        <f t="shared" si="29"/>
        <v>0</v>
      </c>
      <c r="M48" s="152"/>
      <c r="N48" s="166">
        <f t="shared" si="5"/>
        <v>0</v>
      </c>
      <c r="O48" s="152"/>
      <c r="P48" s="166">
        <f t="shared" si="6"/>
        <v>0</v>
      </c>
      <c r="Q48" s="152"/>
      <c r="R48" s="166">
        <f t="shared" si="7"/>
        <v>0</v>
      </c>
      <c r="S48" s="152"/>
      <c r="T48" s="166" t="str">
        <f t="shared" si="8"/>
        <v>NA</v>
      </c>
      <c r="U48" s="142">
        <f t="shared" si="2"/>
        <v>0</v>
      </c>
      <c r="V48" s="151"/>
      <c r="W48" s="167">
        <f t="shared" si="9"/>
        <v>0</v>
      </c>
      <c r="X48" s="151"/>
      <c r="Y48" s="167">
        <f t="shared" si="10"/>
        <v>0</v>
      </c>
      <c r="Z48" s="151"/>
      <c r="AA48" s="167">
        <f t="shared" si="11"/>
        <v>0</v>
      </c>
      <c r="AB48" s="151"/>
      <c r="AC48" s="167" t="str">
        <f t="shared" si="3"/>
        <v>NA</v>
      </c>
      <c r="AD48" s="143">
        <f t="shared" si="28"/>
        <v>0</v>
      </c>
      <c r="AE48" s="134"/>
      <c r="AF48" s="135">
        <f t="shared" si="12"/>
        <v>0</v>
      </c>
      <c r="AG48" s="134"/>
      <c r="AH48" s="135" t="str">
        <f t="shared" si="13"/>
        <v>NA</v>
      </c>
      <c r="AI48" s="134"/>
      <c r="AJ48" s="135" t="str">
        <f t="shared" si="14"/>
        <v>NA</v>
      </c>
      <c r="AK48" s="133">
        <f t="shared" si="15"/>
        <v>0</v>
      </c>
      <c r="AL48" s="133"/>
      <c r="AM48" s="182" t="str">
        <f t="shared" si="16"/>
        <v>NA</v>
      </c>
      <c r="AN48" s="133"/>
      <c r="AO48" s="182" t="str">
        <f t="shared" si="17"/>
        <v>NA</v>
      </c>
      <c r="AP48" s="133"/>
      <c r="AQ48" s="182" t="str">
        <f t="shared" si="18"/>
        <v>NA</v>
      </c>
      <c r="AR48" s="133">
        <f t="shared" si="19"/>
        <v>0</v>
      </c>
      <c r="AS48" s="134"/>
      <c r="AT48" s="135">
        <f t="shared" si="20"/>
        <v>0</v>
      </c>
      <c r="AU48" s="134"/>
      <c r="AV48" s="135" t="str">
        <f t="shared" si="21"/>
        <v>NA</v>
      </c>
      <c r="AW48" s="134"/>
      <c r="AX48" s="135" t="str">
        <f t="shared" si="22"/>
        <v>NA</v>
      </c>
      <c r="AY48" s="133">
        <f t="shared" si="23"/>
        <v>0</v>
      </c>
      <c r="AZ48" s="168">
        <f t="shared" si="24"/>
        <v>0</v>
      </c>
      <c r="BA48" s="173">
        <f t="shared" si="25"/>
        <v>0</v>
      </c>
    </row>
    <row r="49" spans="1:53" ht="20.100000000000001" hidden="1" customHeight="1" outlineLevel="1" x14ac:dyDescent="0.25">
      <c r="A49" s="151">
        <f>IF((A48+1)&lt;=Outline!$E$12,A48+1,0)</f>
        <v>41</v>
      </c>
      <c r="B49" s="93"/>
      <c r="C49" s="140"/>
      <c r="D49" s="170"/>
      <c r="E49" s="165">
        <f t="shared" si="1"/>
        <v>0</v>
      </c>
      <c r="F49" s="151"/>
      <c r="G49" s="165">
        <f t="shared" si="26"/>
        <v>0</v>
      </c>
      <c r="H49" s="151"/>
      <c r="I49" s="165">
        <f t="shared" si="27"/>
        <v>0</v>
      </c>
      <c r="J49" s="151"/>
      <c r="K49" s="165" t="str">
        <f t="shared" si="4"/>
        <v>NA</v>
      </c>
      <c r="L49" s="141">
        <f t="shared" si="29"/>
        <v>0</v>
      </c>
      <c r="M49" s="152"/>
      <c r="N49" s="166">
        <f t="shared" si="5"/>
        <v>0</v>
      </c>
      <c r="O49" s="152"/>
      <c r="P49" s="166">
        <f t="shared" si="6"/>
        <v>0</v>
      </c>
      <c r="Q49" s="152"/>
      <c r="R49" s="166">
        <f t="shared" si="7"/>
        <v>0</v>
      </c>
      <c r="S49" s="152"/>
      <c r="T49" s="166" t="str">
        <f t="shared" si="8"/>
        <v>NA</v>
      </c>
      <c r="U49" s="142">
        <f t="shared" si="2"/>
        <v>0</v>
      </c>
      <c r="V49" s="151"/>
      <c r="W49" s="167">
        <f t="shared" si="9"/>
        <v>0</v>
      </c>
      <c r="X49" s="151"/>
      <c r="Y49" s="167">
        <f t="shared" si="10"/>
        <v>0</v>
      </c>
      <c r="Z49" s="151"/>
      <c r="AA49" s="167">
        <f t="shared" si="11"/>
        <v>0</v>
      </c>
      <c r="AB49" s="151"/>
      <c r="AC49" s="167" t="str">
        <f t="shared" si="3"/>
        <v>NA</v>
      </c>
      <c r="AD49" s="143">
        <f t="shared" si="28"/>
        <v>0</v>
      </c>
      <c r="AE49" s="134"/>
      <c r="AF49" s="135">
        <f t="shared" si="12"/>
        <v>0</v>
      </c>
      <c r="AG49" s="134"/>
      <c r="AH49" s="135" t="str">
        <f t="shared" si="13"/>
        <v>NA</v>
      </c>
      <c r="AI49" s="134"/>
      <c r="AJ49" s="135" t="str">
        <f t="shared" si="14"/>
        <v>NA</v>
      </c>
      <c r="AK49" s="133">
        <f t="shared" si="15"/>
        <v>0</v>
      </c>
      <c r="AL49" s="133"/>
      <c r="AM49" s="182" t="str">
        <f t="shared" si="16"/>
        <v>NA</v>
      </c>
      <c r="AN49" s="133"/>
      <c r="AO49" s="182" t="str">
        <f t="shared" si="17"/>
        <v>NA</v>
      </c>
      <c r="AP49" s="133"/>
      <c r="AQ49" s="182" t="str">
        <f t="shared" si="18"/>
        <v>NA</v>
      </c>
      <c r="AR49" s="133">
        <f t="shared" si="19"/>
        <v>0</v>
      </c>
      <c r="AS49" s="134"/>
      <c r="AT49" s="135">
        <f t="shared" si="20"/>
        <v>0</v>
      </c>
      <c r="AU49" s="134"/>
      <c r="AV49" s="135" t="str">
        <f t="shared" si="21"/>
        <v>NA</v>
      </c>
      <c r="AW49" s="134"/>
      <c r="AX49" s="135" t="str">
        <f t="shared" si="22"/>
        <v>NA</v>
      </c>
      <c r="AY49" s="133">
        <f t="shared" si="23"/>
        <v>0</v>
      </c>
      <c r="AZ49" s="168">
        <f t="shared" si="24"/>
        <v>0</v>
      </c>
      <c r="BA49" s="173">
        <f t="shared" si="25"/>
        <v>0</v>
      </c>
    </row>
    <row r="50" spans="1:53" ht="20.100000000000001" hidden="1" customHeight="1" outlineLevel="1" x14ac:dyDescent="0.25">
      <c r="A50" s="151">
        <f>IF((A49+1)&lt;=Outline!$E$12,A49+1,0)</f>
        <v>42</v>
      </c>
      <c r="B50" s="93"/>
      <c r="C50" s="140"/>
      <c r="D50" s="170"/>
      <c r="E50" s="165">
        <f t="shared" si="1"/>
        <v>0</v>
      </c>
      <c r="F50" s="151"/>
      <c r="G50" s="165">
        <f t="shared" si="26"/>
        <v>0</v>
      </c>
      <c r="H50" s="151"/>
      <c r="I50" s="165">
        <f t="shared" si="27"/>
        <v>0</v>
      </c>
      <c r="J50" s="151"/>
      <c r="K50" s="165" t="str">
        <f t="shared" si="4"/>
        <v>NA</v>
      </c>
      <c r="L50" s="141">
        <f t="shared" si="29"/>
        <v>0</v>
      </c>
      <c r="M50" s="152"/>
      <c r="N50" s="166">
        <f t="shared" si="5"/>
        <v>0</v>
      </c>
      <c r="O50" s="152"/>
      <c r="P50" s="166">
        <f t="shared" si="6"/>
        <v>0</v>
      </c>
      <c r="Q50" s="152"/>
      <c r="R50" s="166">
        <f t="shared" si="7"/>
        <v>0</v>
      </c>
      <c r="S50" s="152"/>
      <c r="T50" s="166" t="str">
        <f t="shared" si="8"/>
        <v>NA</v>
      </c>
      <c r="U50" s="142">
        <f t="shared" si="2"/>
        <v>0</v>
      </c>
      <c r="V50" s="151"/>
      <c r="W50" s="167">
        <f t="shared" si="9"/>
        <v>0</v>
      </c>
      <c r="X50" s="151"/>
      <c r="Y50" s="167">
        <f t="shared" si="10"/>
        <v>0</v>
      </c>
      <c r="Z50" s="151"/>
      <c r="AA50" s="167">
        <f t="shared" si="11"/>
        <v>0</v>
      </c>
      <c r="AB50" s="151"/>
      <c r="AC50" s="167" t="str">
        <f t="shared" si="3"/>
        <v>NA</v>
      </c>
      <c r="AD50" s="143">
        <f t="shared" si="28"/>
        <v>0</v>
      </c>
      <c r="AE50" s="134"/>
      <c r="AF50" s="135">
        <f t="shared" si="12"/>
        <v>0</v>
      </c>
      <c r="AG50" s="134"/>
      <c r="AH50" s="135" t="str">
        <f t="shared" si="13"/>
        <v>NA</v>
      </c>
      <c r="AI50" s="134"/>
      <c r="AJ50" s="135" t="str">
        <f t="shared" si="14"/>
        <v>NA</v>
      </c>
      <c r="AK50" s="133">
        <f t="shared" si="15"/>
        <v>0</v>
      </c>
      <c r="AL50" s="133"/>
      <c r="AM50" s="182" t="str">
        <f t="shared" si="16"/>
        <v>NA</v>
      </c>
      <c r="AN50" s="133"/>
      <c r="AO50" s="182" t="str">
        <f t="shared" si="17"/>
        <v>NA</v>
      </c>
      <c r="AP50" s="133"/>
      <c r="AQ50" s="182" t="str">
        <f t="shared" si="18"/>
        <v>NA</v>
      </c>
      <c r="AR50" s="133">
        <f t="shared" si="19"/>
        <v>0</v>
      </c>
      <c r="AS50" s="134"/>
      <c r="AT50" s="135">
        <f t="shared" si="20"/>
        <v>0</v>
      </c>
      <c r="AU50" s="134"/>
      <c r="AV50" s="135" t="str">
        <f t="shared" si="21"/>
        <v>NA</v>
      </c>
      <c r="AW50" s="134"/>
      <c r="AX50" s="135" t="str">
        <f t="shared" si="22"/>
        <v>NA</v>
      </c>
      <c r="AY50" s="133">
        <f t="shared" si="23"/>
        <v>0</v>
      </c>
      <c r="AZ50" s="168">
        <f t="shared" si="24"/>
        <v>0</v>
      </c>
      <c r="BA50" s="173">
        <f t="shared" si="25"/>
        <v>0</v>
      </c>
    </row>
    <row r="51" spans="1:53" ht="20.100000000000001" hidden="1" customHeight="1" outlineLevel="1" x14ac:dyDescent="0.25">
      <c r="A51" s="151">
        <f>IF((A50+1)&lt;=Outline!$E$12,A50+1,0)</f>
        <v>0</v>
      </c>
      <c r="B51" s="93"/>
      <c r="C51" s="140"/>
      <c r="D51" s="170"/>
      <c r="E51" s="165">
        <f t="shared" si="1"/>
        <v>0</v>
      </c>
      <c r="F51" s="151"/>
      <c r="G51" s="165">
        <f t="shared" si="26"/>
        <v>0</v>
      </c>
      <c r="H51" s="151"/>
      <c r="I51" s="165">
        <f t="shared" si="27"/>
        <v>0</v>
      </c>
      <c r="J51" s="151"/>
      <c r="K51" s="165" t="str">
        <f t="shared" si="4"/>
        <v>NA</v>
      </c>
      <c r="L51" s="141">
        <f t="shared" si="29"/>
        <v>0</v>
      </c>
      <c r="M51" s="152"/>
      <c r="N51" s="166">
        <f t="shared" si="5"/>
        <v>0</v>
      </c>
      <c r="O51" s="152"/>
      <c r="P51" s="166">
        <f t="shared" si="6"/>
        <v>0</v>
      </c>
      <c r="Q51" s="152"/>
      <c r="R51" s="166">
        <f t="shared" si="7"/>
        <v>0</v>
      </c>
      <c r="S51" s="152"/>
      <c r="T51" s="166" t="str">
        <f t="shared" si="8"/>
        <v>NA</v>
      </c>
      <c r="U51" s="142">
        <f t="shared" si="2"/>
        <v>0</v>
      </c>
      <c r="V51" s="151"/>
      <c r="W51" s="167">
        <f t="shared" si="9"/>
        <v>0</v>
      </c>
      <c r="X51" s="151"/>
      <c r="Y51" s="167">
        <f t="shared" si="10"/>
        <v>0</v>
      </c>
      <c r="Z51" s="151"/>
      <c r="AA51" s="167">
        <f t="shared" si="11"/>
        <v>0</v>
      </c>
      <c r="AB51" s="151"/>
      <c r="AC51" s="167" t="str">
        <f t="shared" si="3"/>
        <v>NA</v>
      </c>
      <c r="AD51" s="143">
        <f t="shared" si="28"/>
        <v>0</v>
      </c>
      <c r="AE51" s="134"/>
      <c r="AF51" s="135">
        <f t="shared" si="12"/>
        <v>0</v>
      </c>
      <c r="AG51" s="134"/>
      <c r="AH51" s="135" t="str">
        <f t="shared" si="13"/>
        <v>NA</v>
      </c>
      <c r="AI51" s="134"/>
      <c r="AJ51" s="135" t="str">
        <f t="shared" si="14"/>
        <v>NA</v>
      </c>
      <c r="AK51" s="133">
        <f t="shared" si="15"/>
        <v>0</v>
      </c>
      <c r="AL51" s="133"/>
      <c r="AM51" s="182" t="str">
        <f t="shared" si="16"/>
        <v>NA</v>
      </c>
      <c r="AN51" s="133"/>
      <c r="AO51" s="182" t="str">
        <f t="shared" si="17"/>
        <v>NA</v>
      </c>
      <c r="AP51" s="133"/>
      <c r="AQ51" s="182" t="str">
        <f t="shared" si="18"/>
        <v>NA</v>
      </c>
      <c r="AR51" s="133">
        <f t="shared" si="19"/>
        <v>0</v>
      </c>
      <c r="AS51" s="134"/>
      <c r="AT51" s="135">
        <f t="shared" si="20"/>
        <v>0</v>
      </c>
      <c r="AU51" s="134"/>
      <c r="AV51" s="135" t="str">
        <f t="shared" si="21"/>
        <v>NA</v>
      </c>
      <c r="AW51" s="134"/>
      <c r="AX51" s="135" t="str">
        <f t="shared" si="22"/>
        <v>NA</v>
      </c>
      <c r="AY51" s="133">
        <f t="shared" si="23"/>
        <v>0</v>
      </c>
      <c r="AZ51" s="168">
        <f t="shared" si="24"/>
        <v>0</v>
      </c>
      <c r="BA51" s="173">
        <f t="shared" si="25"/>
        <v>0</v>
      </c>
    </row>
    <row r="52" spans="1:53" ht="20.100000000000001" hidden="1" customHeight="1" outlineLevel="1" x14ac:dyDescent="0.25">
      <c r="A52" s="151">
        <f>IF((A51+1)&lt;=Outline!$E$12,A51+1,0)</f>
        <v>1</v>
      </c>
      <c r="B52" s="93"/>
      <c r="C52" s="140"/>
      <c r="D52" s="170"/>
      <c r="E52" s="165">
        <f t="shared" si="1"/>
        <v>0</v>
      </c>
      <c r="F52" s="151"/>
      <c r="G52" s="165">
        <f t="shared" si="26"/>
        <v>0</v>
      </c>
      <c r="H52" s="151"/>
      <c r="I52" s="165">
        <f t="shared" si="27"/>
        <v>0</v>
      </c>
      <c r="J52" s="151"/>
      <c r="K52" s="165" t="str">
        <f t="shared" si="4"/>
        <v>NA</v>
      </c>
      <c r="L52" s="141">
        <f t="shared" si="29"/>
        <v>0</v>
      </c>
      <c r="M52" s="152"/>
      <c r="N52" s="166">
        <f t="shared" si="5"/>
        <v>0</v>
      </c>
      <c r="O52" s="152"/>
      <c r="P52" s="166">
        <f t="shared" si="6"/>
        <v>0</v>
      </c>
      <c r="Q52" s="152"/>
      <c r="R52" s="166">
        <f t="shared" si="7"/>
        <v>0</v>
      </c>
      <c r="S52" s="152"/>
      <c r="T52" s="166" t="str">
        <f t="shared" si="8"/>
        <v>NA</v>
      </c>
      <c r="U52" s="142">
        <f t="shared" si="2"/>
        <v>0</v>
      </c>
      <c r="V52" s="151"/>
      <c r="W52" s="167">
        <f t="shared" si="9"/>
        <v>0</v>
      </c>
      <c r="X52" s="151"/>
      <c r="Y52" s="167">
        <f t="shared" si="10"/>
        <v>0</v>
      </c>
      <c r="Z52" s="151"/>
      <c r="AA52" s="167">
        <f t="shared" si="11"/>
        <v>0</v>
      </c>
      <c r="AB52" s="151"/>
      <c r="AC52" s="167" t="str">
        <f t="shared" si="3"/>
        <v>NA</v>
      </c>
      <c r="AD52" s="143">
        <f t="shared" si="28"/>
        <v>0</v>
      </c>
      <c r="AE52" s="134"/>
      <c r="AF52" s="135">
        <f t="shared" si="12"/>
        <v>0</v>
      </c>
      <c r="AG52" s="134"/>
      <c r="AH52" s="135" t="str">
        <f t="shared" si="13"/>
        <v>NA</v>
      </c>
      <c r="AI52" s="134"/>
      <c r="AJ52" s="135" t="str">
        <f t="shared" si="14"/>
        <v>NA</v>
      </c>
      <c r="AK52" s="133">
        <f t="shared" si="15"/>
        <v>0</v>
      </c>
      <c r="AL52" s="133"/>
      <c r="AM52" s="182" t="str">
        <f t="shared" si="16"/>
        <v>NA</v>
      </c>
      <c r="AN52" s="133"/>
      <c r="AO52" s="182" t="str">
        <f t="shared" si="17"/>
        <v>NA</v>
      </c>
      <c r="AP52" s="133"/>
      <c r="AQ52" s="182" t="str">
        <f t="shared" si="18"/>
        <v>NA</v>
      </c>
      <c r="AR52" s="133">
        <f t="shared" si="19"/>
        <v>0</v>
      </c>
      <c r="AS52" s="134"/>
      <c r="AT52" s="135">
        <f t="shared" si="20"/>
        <v>0</v>
      </c>
      <c r="AU52" s="134"/>
      <c r="AV52" s="135" t="str">
        <f t="shared" si="21"/>
        <v>NA</v>
      </c>
      <c r="AW52" s="134"/>
      <c r="AX52" s="135" t="str">
        <f t="shared" si="22"/>
        <v>NA</v>
      </c>
      <c r="AY52" s="133">
        <f t="shared" si="23"/>
        <v>0</v>
      </c>
      <c r="AZ52" s="168">
        <f t="shared" si="24"/>
        <v>0</v>
      </c>
      <c r="BA52" s="173">
        <f t="shared" si="25"/>
        <v>0</v>
      </c>
    </row>
    <row r="53" spans="1:53" ht="20.100000000000001" hidden="1" customHeight="1" x14ac:dyDescent="0.25">
      <c r="A53" s="151">
        <f>IF((A52+1)&lt;=Outline!$E$12,A52+1,0)</f>
        <v>2</v>
      </c>
      <c r="B53" s="93"/>
      <c r="C53" s="140"/>
      <c r="D53" s="170"/>
      <c r="E53" s="165">
        <f t="shared" si="1"/>
        <v>0</v>
      </c>
      <c r="F53" s="151"/>
      <c r="G53" s="165">
        <f t="shared" si="26"/>
        <v>0</v>
      </c>
      <c r="H53" s="151"/>
      <c r="I53" s="165">
        <f t="shared" si="27"/>
        <v>0</v>
      </c>
      <c r="J53" s="151"/>
      <c r="K53" s="165" t="str">
        <f t="shared" si="4"/>
        <v>NA</v>
      </c>
      <c r="L53" s="141">
        <f t="shared" si="29"/>
        <v>0</v>
      </c>
      <c r="M53" s="152"/>
      <c r="N53" s="166">
        <f t="shared" si="5"/>
        <v>0</v>
      </c>
      <c r="O53" s="152"/>
      <c r="P53" s="166">
        <f t="shared" si="6"/>
        <v>0</v>
      </c>
      <c r="Q53" s="152"/>
      <c r="R53" s="166">
        <f t="shared" si="7"/>
        <v>0</v>
      </c>
      <c r="S53" s="152"/>
      <c r="T53" s="166" t="str">
        <f t="shared" si="8"/>
        <v>NA</v>
      </c>
      <c r="U53" s="142">
        <f t="shared" si="2"/>
        <v>0</v>
      </c>
      <c r="V53" s="151"/>
      <c r="W53" s="167">
        <f t="shared" si="9"/>
        <v>0</v>
      </c>
      <c r="X53" s="151"/>
      <c r="Y53" s="167">
        <f t="shared" si="10"/>
        <v>0</v>
      </c>
      <c r="Z53" s="151"/>
      <c r="AA53" s="167">
        <f t="shared" si="11"/>
        <v>0</v>
      </c>
      <c r="AB53" s="151"/>
      <c r="AC53" s="167" t="str">
        <f t="shared" si="3"/>
        <v>NA</v>
      </c>
      <c r="AD53" s="143">
        <f t="shared" si="28"/>
        <v>0</v>
      </c>
      <c r="AE53" s="134"/>
      <c r="AF53" s="135">
        <f t="shared" si="12"/>
        <v>0</v>
      </c>
      <c r="AG53" s="134"/>
      <c r="AH53" s="135" t="str">
        <f t="shared" si="13"/>
        <v>NA</v>
      </c>
      <c r="AI53" s="134"/>
      <c r="AJ53" s="135" t="str">
        <f t="shared" si="14"/>
        <v>NA</v>
      </c>
      <c r="AK53" s="133">
        <f t="shared" si="15"/>
        <v>0</v>
      </c>
      <c r="AL53" s="133"/>
      <c r="AM53" s="182" t="str">
        <f t="shared" si="16"/>
        <v>NA</v>
      </c>
      <c r="AN53" s="133"/>
      <c r="AO53" s="182" t="str">
        <f t="shared" si="17"/>
        <v>NA</v>
      </c>
      <c r="AP53" s="133"/>
      <c r="AQ53" s="182" t="str">
        <f t="shared" si="18"/>
        <v>NA</v>
      </c>
      <c r="AR53" s="133">
        <f t="shared" si="19"/>
        <v>0</v>
      </c>
      <c r="AS53" s="134"/>
      <c r="AT53" s="135">
        <f t="shared" si="20"/>
        <v>0</v>
      </c>
      <c r="AU53" s="134"/>
      <c r="AV53" s="135" t="str">
        <f t="shared" si="21"/>
        <v>NA</v>
      </c>
      <c r="AW53" s="134"/>
      <c r="AX53" s="135" t="str">
        <f t="shared" si="22"/>
        <v>NA</v>
      </c>
      <c r="AY53" s="133">
        <f t="shared" si="23"/>
        <v>0</v>
      </c>
      <c r="AZ53" s="168">
        <f t="shared" si="24"/>
        <v>0</v>
      </c>
      <c r="BA53" s="173">
        <f t="shared" si="25"/>
        <v>0</v>
      </c>
    </row>
    <row r="54" spans="1:53" ht="20.100000000000001" hidden="1" customHeight="1" x14ac:dyDescent="0.25">
      <c r="A54" s="151">
        <f>IF((A53+1)&lt;=Outline!$E$12,A53+1,0)</f>
        <v>3</v>
      </c>
      <c r="B54" s="93"/>
      <c r="C54" s="140"/>
      <c r="D54" s="170"/>
      <c r="E54" s="165">
        <f t="shared" si="1"/>
        <v>0</v>
      </c>
      <c r="F54" s="151"/>
      <c r="G54" s="165">
        <f t="shared" si="26"/>
        <v>0</v>
      </c>
      <c r="H54" s="151"/>
      <c r="I54" s="165">
        <f t="shared" si="27"/>
        <v>0</v>
      </c>
      <c r="J54" s="151"/>
      <c r="K54" s="165" t="str">
        <f t="shared" si="4"/>
        <v>NA</v>
      </c>
      <c r="L54" s="141">
        <f t="shared" si="29"/>
        <v>0</v>
      </c>
      <c r="M54" s="152"/>
      <c r="N54" s="166">
        <f t="shared" si="5"/>
        <v>0</v>
      </c>
      <c r="O54" s="152"/>
      <c r="P54" s="166">
        <f t="shared" si="6"/>
        <v>0</v>
      </c>
      <c r="Q54" s="152"/>
      <c r="R54" s="166">
        <f t="shared" si="7"/>
        <v>0</v>
      </c>
      <c r="S54" s="152"/>
      <c r="T54" s="166" t="str">
        <f t="shared" si="8"/>
        <v>NA</v>
      </c>
      <c r="U54" s="142">
        <f t="shared" si="2"/>
        <v>0</v>
      </c>
      <c r="V54" s="151"/>
      <c r="W54" s="167">
        <f t="shared" si="9"/>
        <v>0</v>
      </c>
      <c r="X54" s="151"/>
      <c r="Y54" s="167">
        <f t="shared" si="10"/>
        <v>0</v>
      </c>
      <c r="Z54" s="151"/>
      <c r="AA54" s="167">
        <f t="shared" si="11"/>
        <v>0</v>
      </c>
      <c r="AB54" s="151"/>
      <c r="AC54" s="167" t="str">
        <f t="shared" si="3"/>
        <v>NA</v>
      </c>
      <c r="AD54" s="143">
        <f t="shared" si="28"/>
        <v>0</v>
      </c>
      <c r="AE54" s="134"/>
      <c r="AF54" s="135">
        <f t="shared" si="12"/>
        <v>0</v>
      </c>
      <c r="AG54" s="134"/>
      <c r="AH54" s="135" t="str">
        <f t="shared" si="13"/>
        <v>NA</v>
      </c>
      <c r="AI54" s="134"/>
      <c r="AJ54" s="135" t="str">
        <f t="shared" si="14"/>
        <v>NA</v>
      </c>
      <c r="AK54" s="133">
        <f t="shared" si="15"/>
        <v>0</v>
      </c>
      <c r="AL54" s="133"/>
      <c r="AM54" s="182" t="str">
        <f t="shared" si="16"/>
        <v>NA</v>
      </c>
      <c r="AN54" s="133"/>
      <c r="AO54" s="182" t="str">
        <f t="shared" si="17"/>
        <v>NA</v>
      </c>
      <c r="AP54" s="133"/>
      <c r="AQ54" s="182" t="str">
        <f t="shared" si="18"/>
        <v>NA</v>
      </c>
      <c r="AR54" s="133">
        <f t="shared" si="19"/>
        <v>0</v>
      </c>
      <c r="AS54" s="134"/>
      <c r="AT54" s="135">
        <f t="shared" si="20"/>
        <v>0</v>
      </c>
      <c r="AU54" s="134"/>
      <c r="AV54" s="135" t="str">
        <f t="shared" si="21"/>
        <v>NA</v>
      </c>
      <c r="AW54" s="134"/>
      <c r="AX54" s="135" t="str">
        <f t="shared" si="22"/>
        <v>NA</v>
      </c>
      <c r="AY54" s="133">
        <f t="shared" si="23"/>
        <v>0</v>
      </c>
      <c r="AZ54" s="168">
        <f t="shared" si="24"/>
        <v>0</v>
      </c>
      <c r="BA54" s="173">
        <f t="shared" si="25"/>
        <v>0</v>
      </c>
    </row>
    <row r="55" spans="1:53" ht="20.100000000000001" hidden="1" customHeight="1" x14ac:dyDescent="0.25">
      <c r="A55" s="151">
        <f>IF((A54+1)&lt;=Outline!$E$12,A54+1,0)</f>
        <v>4</v>
      </c>
      <c r="B55" s="93"/>
      <c r="C55" s="140"/>
      <c r="D55" s="170"/>
      <c r="E55" s="165">
        <f t="shared" si="1"/>
        <v>0</v>
      </c>
      <c r="F55" s="151"/>
      <c r="G55" s="165">
        <f t="shared" si="26"/>
        <v>0</v>
      </c>
      <c r="H55" s="151"/>
      <c r="I55" s="165">
        <f t="shared" si="27"/>
        <v>0</v>
      </c>
      <c r="J55" s="151"/>
      <c r="K55" s="165" t="str">
        <f t="shared" si="4"/>
        <v>NA</v>
      </c>
      <c r="L55" s="141">
        <f t="shared" si="29"/>
        <v>0</v>
      </c>
      <c r="M55" s="152"/>
      <c r="N55" s="166">
        <f t="shared" si="5"/>
        <v>0</v>
      </c>
      <c r="O55" s="152"/>
      <c r="P55" s="166">
        <f t="shared" si="6"/>
        <v>0</v>
      </c>
      <c r="Q55" s="152"/>
      <c r="R55" s="166">
        <f t="shared" si="7"/>
        <v>0</v>
      </c>
      <c r="S55" s="152"/>
      <c r="T55" s="166" t="str">
        <f t="shared" si="8"/>
        <v>NA</v>
      </c>
      <c r="U55" s="142">
        <f t="shared" si="2"/>
        <v>0</v>
      </c>
      <c r="V55" s="151"/>
      <c r="W55" s="167">
        <f t="shared" si="9"/>
        <v>0</v>
      </c>
      <c r="X55" s="151"/>
      <c r="Y55" s="167">
        <f t="shared" si="10"/>
        <v>0</v>
      </c>
      <c r="Z55" s="151"/>
      <c r="AA55" s="167">
        <f t="shared" si="11"/>
        <v>0</v>
      </c>
      <c r="AB55" s="151"/>
      <c r="AC55" s="167" t="str">
        <f t="shared" si="3"/>
        <v>NA</v>
      </c>
      <c r="AD55" s="143">
        <f t="shared" si="28"/>
        <v>0</v>
      </c>
      <c r="AE55" s="134"/>
      <c r="AF55" s="135">
        <f t="shared" si="12"/>
        <v>0</v>
      </c>
      <c r="AG55" s="134"/>
      <c r="AH55" s="135" t="str">
        <f t="shared" si="13"/>
        <v>NA</v>
      </c>
      <c r="AI55" s="134"/>
      <c r="AJ55" s="135" t="str">
        <f t="shared" si="14"/>
        <v>NA</v>
      </c>
      <c r="AK55" s="133">
        <f t="shared" si="15"/>
        <v>0</v>
      </c>
      <c r="AL55" s="133"/>
      <c r="AM55" s="182" t="str">
        <f t="shared" si="16"/>
        <v>NA</v>
      </c>
      <c r="AN55" s="133"/>
      <c r="AO55" s="182" t="str">
        <f t="shared" si="17"/>
        <v>NA</v>
      </c>
      <c r="AP55" s="133"/>
      <c r="AQ55" s="182" t="str">
        <f t="shared" si="18"/>
        <v>NA</v>
      </c>
      <c r="AR55" s="133">
        <f t="shared" si="19"/>
        <v>0</v>
      </c>
      <c r="AS55" s="134"/>
      <c r="AT55" s="135">
        <f t="shared" si="20"/>
        <v>0</v>
      </c>
      <c r="AU55" s="134"/>
      <c r="AV55" s="135" t="str">
        <f t="shared" si="21"/>
        <v>NA</v>
      </c>
      <c r="AW55" s="134"/>
      <c r="AX55" s="135" t="str">
        <f t="shared" si="22"/>
        <v>NA</v>
      </c>
      <c r="AY55" s="133">
        <f t="shared" si="23"/>
        <v>0</v>
      </c>
      <c r="AZ55" s="168">
        <f t="shared" si="24"/>
        <v>0</v>
      </c>
      <c r="BA55" s="173">
        <f t="shared" si="25"/>
        <v>0</v>
      </c>
    </row>
    <row r="56" spans="1:53" ht="20.100000000000001" hidden="1" customHeight="1" x14ac:dyDescent="0.25">
      <c r="A56" s="151">
        <f>IF((A55+1)&lt;=Outline!$E$12,A55+1,0)</f>
        <v>5</v>
      </c>
      <c r="B56" s="93"/>
      <c r="C56" s="140"/>
      <c r="D56" s="170"/>
      <c r="E56" s="165">
        <f t="shared" si="1"/>
        <v>0</v>
      </c>
      <c r="F56" s="151"/>
      <c r="G56" s="165">
        <f t="shared" si="26"/>
        <v>0</v>
      </c>
      <c r="H56" s="151"/>
      <c r="I56" s="165">
        <f t="shared" si="27"/>
        <v>0</v>
      </c>
      <c r="J56" s="151"/>
      <c r="K56" s="165" t="str">
        <f t="shared" si="4"/>
        <v>NA</v>
      </c>
      <c r="L56" s="141">
        <f t="shared" si="29"/>
        <v>0</v>
      </c>
      <c r="M56" s="152"/>
      <c r="N56" s="166">
        <f t="shared" si="5"/>
        <v>0</v>
      </c>
      <c r="O56" s="152"/>
      <c r="P56" s="166">
        <f t="shared" si="6"/>
        <v>0</v>
      </c>
      <c r="Q56" s="152"/>
      <c r="R56" s="166">
        <f t="shared" si="7"/>
        <v>0</v>
      </c>
      <c r="S56" s="152"/>
      <c r="T56" s="166" t="str">
        <f t="shared" si="8"/>
        <v>NA</v>
      </c>
      <c r="U56" s="142">
        <f t="shared" si="2"/>
        <v>0</v>
      </c>
      <c r="V56" s="151"/>
      <c r="W56" s="167">
        <f t="shared" si="9"/>
        <v>0</v>
      </c>
      <c r="X56" s="151"/>
      <c r="Y56" s="167">
        <f t="shared" si="10"/>
        <v>0</v>
      </c>
      <c r="Z56" s="151"/>
      <c r="AA56" s="167">
        <f t="shared" si="11"/>
        <v>0</v>
      </c>
      <c r="AB56" s="151"/>
      <c r="AC56" s="167" t="str">
        <f t="shared" si="3"/>
        <v>NA</v>
      </c>
      <c r="AD56" s="143">
        <f t="shared" si="28"/>
        <v>0</v>
      </c>
      <c r="AE56" s="134"/>
      <c r="AF56" s="135">
        <f t="shared" si="12"/>
        <v>0</v>
      </c>
      <c r="AG56" s="134"/>
      <c r="AH56" s="135" t="str">
        <f t="shared" si="13"/>
        <v>NA</v>
      </c>
      <c r="AI56" s="134"/>
      <c r="AJ56" s="135" t="str">
        <f t="shared" si="14"/>
        <v>NA</v>
      </c>
      <c r="AK56" s="133">
        <f t="shared" si="15"/>
        <v>0</v>
      </c>
      <c r="AL56" s="133"/>
      <c r="AM56" s="182" t="str">
        <f t="shared" si="16"/>
        <v>NA</v>
      </c>
      <c r="AN56" s="133"/>
      <c r="AO56" s="182" t="str">
        <f t="shared" si="17"/>
        <v>NA</v>
      </c>
      <c r="AP56" s="133"/>
      <c r="AQ56" s="182" t="str">
        <f t="shared" si="18"/>
        <v>NA</v>
      </c>
      <c r="AR56" s="133">
        <f t="shared" si="19"/>
        <v>0</v>
      </c>
      <c r="AS56" s="134"/>
      <c r="AT56" s="135">
        <f t="shared" si="20"/>
        <v>0</v>
      </c>
      <c r="AU56" s="134"/>
      <c r="AV56" s="135" t="str">
        <f t="shared" si="21"/>
        <v>NA</v>
      </c>
      <c r="AW56" s="134"/>
      <c r="AX56" s="135" t="str">
        <f t="shared" si="22"/>
        <v>NA</v>
      </c>
      <c r="AY56" s="133">
        <f t="shared" si="23"/>
        <v>0</v>
      </c>
      <c r="AZ56" s="168">
        <f t="shared" si="24"/>
        <v>0</v>
      </c>
      <c r="BA56" s="173">
        <f t="shared" si="25"/>
        <v>0</v>
      </c>
    </row>
    <row r="57" spans="1:53" ht="20.100000000000001" hidden="1" customHeight="1" x14ac:dyDescent="0.25">
      <c r="A57" s="151">
        <f>IF((A56+1)&lt;=Outline!$E$12,A56+1,0)</f>
        <v>6</v>
      </c>
      <c r="B57" s="144"/>
      <c r="C57" s="140"/>
      <c r="D57" s="170"/>
      <c r="E57" s="165">
        <f t="shared" si="1"/>
        <v>0</v>
      </c>
      <c r="F57" s="151"/>
      <c r="G57" s="165">
        <f t="shared" si="26"/>
        <v>0</v>
      </c>
      <c r="H57" s="151"/>
      <c r="I57" s="165">
        <f t="shared" si="27"/>
        <v>0</v>
      </c>
      <c r="J57" s="151"/>
      <c r="K57" s="165" t="str">
        <f t="shared" si="4"/>
        <v>NA</v>
      </c>
      <c r="L57" s="141">
        <f t="shared" si="29"/>
        <v>0</v>
      </c>
      <c r="M57" s="152"/>
      <c r="N57" s="166">
        <f t="shared" si="5"/>
        <v>0</v>
      </c>
      <c r="O57" s="152"/>
      <c r="P57" s="166">
        <f t="shared" si="6"/>
        <v>0</v>
      </c>
      <c r="Q57" s="152"/>
      <c r="R57" s="166">
        <f t="shared" si="7"/>
        <v>0</v>
      </c>
      <c r="S57" s="152"/>
      <c r="T57" s="166" t="str">
        <f t="shared" si="8"/>
        <v>NA</v>
      </c>
      <c r="U57" s="142">
        <f t="shared" si="2"/>
        <v>0</v>
      </c>
      <c r="V57" s="151"/>
      <c r="W57" s="167">
        <f t="shared" si="9"/>
        <v>0</v>
      </c>
      <c r="X57" s="151"/>
      <c r="Y57" s="167">
        <f t="shared" si="10"/>
        <v>0</v>
      </c>
      <c r="Z57" s="151"/>
      <c r="AA57" s="167">
        <f t="shared" si="11"/>
        <v>0</v>
      </c>
      <c r="AB57" s="151"/>
      <c r="AC57" s="167" t="str">
        <f t="shared" si="3"/>
        <v>NA</v>
      </c>
      <c r="AD57" s="143">
        <f t="shared" si="28"/>
        <v>0</v>
      </c>
      <c r="AE57" s="134"/>
      <c r="AF57" s="135">
        <f t="shared" si="12"/>
        <v>0</v>
      </c>
      <c r="AG57" s="134"/>
      <c r="AH57" s="135" t="str">
        <f t="shared" si="13"/>
        <v>NA</v>
      </c>
      <c r="AI57" s="134"/>
      <c r="AJ57" s="135" t="str">
        <f t="shared" si="14"/>
        <v>NA</v>
      </c>
      <c r="AK57" s="133">
        <f t="shared" si="15"/>
        <v>0</v>
      </c>
      <c r="AL57" s="133"/>
      <c r="AM57" s="182" t="str">
        <f t="shared" si="16"/>
        <v>NA</v>
      </c>
      <c r="AN57" s="133"/>
      <c r="AO57" s="182" t="str">
        <f t="shared" si="17"/>
        <v>NA</v>
      </c>
      <c r="AP57" s="133"/>
      <c r="AQ57" s="182" t="str">
        <f t="shared" si="18"/>
        <v>NA</v>
      </c>
      <c r="AR57" s="133">
        <f t="shared" si="19"/>
        <v>0</v>
      </c>
      <c r="AS57" s="134"/>
      <c r="AT57" s="135">
        <f t="shared" si="20"/>
        <v>0</v>
      </c>
      <c r="AU57" s="134"/>
      <c r="AV57" s="135" t="str">
        <f t="shared" si="21"/>
        <v>NA</v>
      </c>
      <c r="AW57" s="134"/>
      <c r="AX57" s="135" t="str">
        <f t="shared" si="22"/>
        <v>NA</v>
      </c>
      <c r="AY57" s="133">
        <f t="shared" si="23"/>
        <v>0</v>
      </c>
      <c r="AZ57" s="168">
        <f t="shared" si="24"/>
        <v>0</v>
      </c>
      <c r="BA57" s="173">
        <f t="shared" si="25"/>
        <v>0</v>
      </c>
    </row>
    <row r="58" spans="1:53" ht="20.100000000000001" hidden="1" customHeight="1" x14ac:dyDescent="0.25">
      <c r="A58" s="151">
        <f>IF((A57+1)&lt;=Outline!$E$12,A57+1,0)</f>
        <v>7</v>
      </c>
      <c r="B58" s="144"/>
      <c r="C58" s="140"/>
      <c r="D58" s="170"/>
      <c r="E58" s="165">
        <f t="shared" si="1"/>
        <v>0</v>
      </c>
      <c r="F58" s="151"/>
      <c r="G58" s="165">
        <f t="shared" si="26"/>
        <v>0</v>
      </c>
      <c r="H58" s="151"/>
      <c r="I58" s="165">
        <f t="shared" si="27"/>
        <v>0</v>
      </c>
      <c r="J58" s="151"/>
      <c r="K58" s="165" t="str">
        <f t="shared" si="4"/>
        <v>NA</v>
      </c>
      <c r="L58" s="141">
        <f t="shared" si="29"/>
        <v>0</v>
      </c>
      <c r="M58" s="152"/>
      <c r="N58" s="166">
        <f t="shared" si="5"/>
        <v>0</v>
      </c>
      <c r="O58" s="152"/>
      <c r="P58" s="166">
        <f t="shared" si="6"/>
        <v>0</v>
      </c>
      <c r="Q58" s="152"/>
      <c r="R58" s="166">
        <f t="shared" si="7"/>
        <v>0</v>
      </c>
      <c r="S58" s="152"/>
      <c r="T58" s="166" t="str">
        <f t="shared" si="8"/>
        <v>NA</v>
      </c>
      <c r="U58" s="142">
        <f t="shared" si="2"/>
        <v>0</v>
      </c>
      <c r="V58" s="151"/>
      <c r="W58" s="167">
        <f t="shared" si="9"/>
        <v>0</v>
      </c>
      <c r="X58" s="151"/>
      <c r="Y58" s="167">
        <f t="shared" si="10"/>
        <v>0</v>
      </c>
      <c r="Z58" s="151"/>
      <c r="AA58" s="167">
        <f t="shared" si="11"/>
        <v>0</v>
      </c>
      <c r="AB58" s="151"/>
      <c r="AC58" s="167" t="str">
        <f t="shared" si="3"/>
        <v>NA</v>
      </c>
      <c r="AD58" s="143">
        <f t="shared" si="28"/>
        <v>0</v>
      </c>
      <c r="AE58" s="134"/>
      <c r="AF58" s="135">
        <f t="shared" si="12"/>
        <v>0</v>
      </c>
      <c r="AG58" s="134"/>
      <c r="AH58" s="135" t="str">
        <f t="shared" si="13"/>
        <v>NA</v>
      </c>
      <c r="AI58" s="134"/>
      <c r="AJ58" s="135" t="str">
        <f t="shared" si="14"/>
        <v>NA</v>
      </c>
      <c r="AK58" s="133">
        <f t="shared" si="15"/>
        <v>0</v>
      </c>
      <c r="AL58" s="133"/>
      <c r="AM58" s="182" t="str">
        <f t="shared" si="16"/>
        <v>NA</v>
      </c>
      <c r="AN58" s="133"/>
      <c r="AO58" s="182" t="str">
        <f t="shared" si="17"/>
        <v>NA</v>
      </c>
      <c r="AP58" s="133"/>
      <c r="AQ58" s="182" t="str">
        <f t="shared" si="18"/>
        <v>NA</v>
      </c>
      <c r="AR58" s="133">
        <f t="shared" si="19"/>
        <v>0</v>
      </c>
      <c r="AS58" s="134"/>
      <c r="AT58" s="135">
        <f t="shared" si="20"/>
        <v>0</v>
      </c>
      <c r="AU58" s="134"/>
      <c r="AV58" s="135" t="str">
        <f t="shared" si="21"/>
        <v>NA</v>
      </c>
      <c r="AW58" s="134"/>
      <c r="AX58" s="135" t="str">
        <f t="shared" si="22"/>
        <v>NA</v>
      </c>
      <c r="AY58" s="133">
        <f t="shared" si="23"/>
        <v>0</v>
      </c>
      <c r="AZ58" s="168">
        <f t="shared" si="24"/>
        <v>0</v>
      </c>
      <c r="BA58" s="173">
        <f t="shared" si="25"/>
        <v>0</v>
      </c>
    </row>
    <row r="59" spans="1:53" ht="20.100000000000001" hidden="1" customHeight="1" x14ac:dyDescent="0.25">
      <c r="A59" s="151">
        <f>IF((A58+1)&lt;=Outline!$E$12,A58+1,0)</f>
        <v>8</v>
      </c>
      <c r="B59" s="115"/>
      <c r="C59" s="116"/>
      <c r="D59" s="170"/>
      <c r="E59" s="165">
        <f t="shared" si="1"/>
        <v>0</v>
      </c>
      <c r="F59" s="151"/>
      <c r="G59" s="165">
        <f t="shared" si="26"/>
        <v>0</v>
      </c>
      <c r="H59" s="151"/>
      <c r="I59" s="165">
        <f t="shared" si="27"/>
        <v>0</v>
      </c>
      <c r="J59" s="151"/>
      <c r="K59" s="165" t="str">
        <f t="shared" si="4"/>
        <v>NA</v>
      </c>
      <c r="L59" s="141">
        <f t="shared" si="29"/>
        <v>0</v>
      </c>
      <c r="M59" s="152"/>
      <c r="N59" s="166">
        <f t="shared" si="5"/>
        <v>0</v>
      </c>
      <c r="O59" s="152"/>
      <c r="P59" s="166">
        <f t="shared" si="6"/>
        <v>0</v>
      </c>
      <c r="Q59" s="152"/>
      <c r="R59" s="166">
        <f t="shared" si="7"/>
        <v>0</v>
      </c>
      <c r="S59" s="152"/>
      <c r="T59" s="166" t="str">
        <f t="shared" si="8"/>
        <v>NA</v>
      </c>
      <c r="U59" s="142">
        <f t="shared" si="2"/>
        <v>0</v>
      </c>
      <c r="V59" s="151"/>
      <c r="W59" s="167">
        <f t="shared" si="9"/>
        <v>0</v>
      </c>
      <c r="X59" s="151"/>
      <c r="Y59" s="167">
        <f t="shared" si="10"/>
        <v>0</v>
      </c>
      <c r="Z59" s="151"/>
      <c r="AA59" s="167">
        <f t="shared" si="11"/>
        <v>0</v>
      </c>
      <c r="AB59" s="151"/>
      <c r="AC59" s="167" t="str">
        <f t="shared" si="3"/>
        <v>NA</v>
      </c>
      <c r="AD59" s="143">
        <f t="shared" si="28"/>
        <v>0</v>
      </c>
      <c r="AE59" s="134"/>
      <c r="AF59" s="135">
        <f t="shared" si="12"/>
        <v>0</v>
      </c>
      <c r="AG59" s="134"/>
      <c r="AH59" s="135" t="str">
        <f t="shared" si="13"/>
        <v>NA</v>
      </c>
      <c r="AI59" s="134"/>
      <c r="AJ59" s="135" t="str">
        <f t="shared" si="14"/>
        <v>NA</v>
      </c>
      <c r="AK59" s="133">
        <f t="shared" si="15"/>
        <v>0</v>
      </c>
      <c r="AL59" s="133"/>
      <c r="AM59" s="182" t="str">
        <f t="shared" si="16"/>
        <v>NA</v>
      </c>
      <c r="AN59" s="133"/>
      <c r="AO59" s="182" t="str">
        <f t="shared" si="17"/>
        <v>NA</v>
      </c>
      <c r="AP59" s="133"/>
      <c r="AQ59" s="182" t="str">
        <f t="shared" si="18"/>
        <v>NA</v>
      </c>
      <c r="AR59" s="133">
        <f t="shared" si="19"/>
        <v>0</v>
      </c>
      <c r="AS59" s="134"/>
      <c r="AT59" s="135">
        <f t="shared" si="20"/>
        <v>0</v>
      </c>
      <c r="AU59" s="134"/>
      <c r="AV59" s="135" t="str">
        <f t="shared" si="21"/>
        <v>NA</v>
      </c>
      <c r="AW59" s="134"/>
      <c r="AX59" s="135" t="str">
        <f t="shared" si="22"/>
        <v>NA</v>
      </c>
      <c r="AY59" s="133">
        <f t="shared" si="23"/>
        <v>0</v>
      </c>
      <c r="AZ59" s="168">
        <f t="shared" si="24"/>
        <v>0</v>
      </c>
      <c r="BA59" s="173">
        <f t="shared" si="25"/>
        <v>0</v>
      </c>
    </row>
    <row r="60" spans="1:53" ht="20.100000000000001" hidden="1" customHeight="1" x14ac:dyDescent="0.25">
      <c r="A60" s="151">
        <f>IF((A59+1)&lt;=Outline!$E$12,A59+1,0)</f>
        <v>9</v>
      </c>
      <c r="B60" s="117"/>
      <c r="C60" s="118"/>
      <c r="D60" s="170"/>
      <c r="E60" s="165">
        <f t="shared" si="1"/>
        <v>0</v>
      </c>
      <c r="F60" s="151"/>
      <c r="G60" s="165">
        <f t="shared" si="26"/>
        <v>0</v>
      </c>
      <c r="H60" s="151"/>
      <c r="I60" s="165">
        <f t="shared" si="27"/>
        <v>0</v>
      </c>
      <c r="J60" s="151"/>
      <c r="K60" s="165" t="str">
        <f t="shared" si="4"/>
        <v>NA</v>
      </c>
      <c r="L60" s="141">
        <f t="shared" si="29"/>
        <v>0</v>
      </c>
      <c r="M60" s="152"/>
      <c r="N60" s="166">
        <f t="shared" si="5"/>
        <v>0</v>
      </c>
      <c r="O60" s="152"/>
      <c r="P60" s="166">
        <f t="shared" si="6"/>
        <v>0</v>
      </c>
      <c r="Q60" s="152"/>
      <c r="R60" s="166">
        <f t="shared" si="7"/>
        <v>0</v>
      </c>
      <c r="S60" s="152"/>
      <c r="T60" s="166" t="str">
        <f t="shared" si="8"/>
        <v>NA</v>
      </c>
      <c r="U60" s="142">
        <f t="shared" si="2"/>
        <v>0</v>
      </c>
      <c r="V60" s="151"/>
      <c r="W60" s="167">
        <f t="shared" si="9"/>
        <v>0</v>
      </c>
      <c r="X60" s="151"/>
      <c r="Y60" s="167">
        <f t="shared" si="10"/>
        <v>0</v>
      </c>
      <c r="Z60" s="151"/>
      <c r="AA60" s="167">
        <f t="shared" si="11"/>
        <v>0</v>
      </c>
      <c r="AB60" s="151"/>
      <c r="AC60" s="167" t="str">
        <f t="shared" si="3"/>
        <v>NA</v>
      </c>
      <c r="AD60" s="143">
        <f t="shared" si="28"/>
        <v>0</v>
      </c>
      <c r="AE60" s="134"/>
      <c r="AF60" s="135">
        <f t="shared" si="12"/>
        <v>0</v>
      </c>
      <c r="AG60" s="134"/>
      <c r="AH60" s="135" t="str">
        <f t="shared" si="13"/>
        <v>NA</v>
      </c>
      <c r="AI60" s="134"/>
      <c r="AJ60" s="135" t="str">
        <f t="shared" si="14"/>
        <v>NA</v>
      </c>
      <c r="AK60" s="133">
        <f t="shared" si="15"/>
        <v>0</v>
      </c>
      <c r="AL60" s="133"/>
      <c r="AM60" s="182" t="str">
        <f t="shared" si="16"/>
        <v>NA</v>
      </c>
      <c r="AN60" s="133"/>
      <c r="AO60" s="182" t="str">
        <f t="shared" si="17"/>
        <v>NA</v>
      </c>
      <c r="AP60" s="133"/>
      <c r="AQ60" s="182" t="str">
        <f t="shared" si="18"/>
        <v>NA</v>
      </c>
      <c r="AR60" s="133">
        <f t="shared" si="19"/>
        <v>0</v>
      </c>
      <c r="AS60" s="134"/>
      <c r="AT60" s="135">
        <f t="shared" si="20"/>
        <v>0</v>
      </c>
      <c r="AU60" s="134"/>
      <c r="AV60" s="135" t="str">
        <f t="shared" si="21"/>
        <v>NA</v>
      </c>
      <c r="AW60" s="134"/>
      <c r="AX60" s="135" t="str">
        <f t="shared" si="22"/>
        <v>NA</v>
      </c>
      <c r="AY60" s="133">
        <f t="shared" si="23"/>
        <v>0</v>
      </c>
      <c r="AZ60" s="168">
        <f t="shared" si="24"/>
        <v>0</v>
      </c>
      <c r="BA60" s="173">
        <f t="shared" si="25"/>
        <v>0</v>
      </c>
    </row>
    <row r="61" spans="1:53" ht="20.100000000000001" hidden="1" customHeight="1" x14ac:dyDescent="0.25">
      <c r="A61" s="151">
        <f>IF((A60+1)&lt;=Outline!$E$12,A60+1,0)</f>
        <v>10</v>
      </c>
      <c r="B61" s="117"/>
      <c r="C61" s="118"/>
      <c r="D61" s="170"/>
      <c r="E61" s="165">
        <f t="shared" si="1"/>
        <v>0</v>
      </c>
      <c r="F61" s="151"/>
      <c r="G61" s="165">
        <f t="shared" si="26"/>
        <v>0</v>
      </c>
      <c r="H61" s="151"/>
      <c r="I61" s="165">
        <f t="shared" si="27"/>
        <v>0</v>
      </c>
      <c r="J61" s="151"/>
      <c r="K61" s="165" t="str">
        <f t="shared" si="4"/>
        <v>NA</v>
      </c>
      <c r="L61" s="141">
        <f t="shared" si="29"/>
        <v>0</v>
      </c>
      <c r="M61" s="152"/>
      <c r="N61" s="166">
        <f t="shared" si="5"/>
        <v>0</v>
      </c>
      <c r="O61" s="152"/>
      <c r="P61" s="166">
        <f t="shared" si="6"/>
        <v>0</v>
      </c>
      <c r="Q61" s="152"/>
      <c r="R61" s="166">
        <f t="shared" si="7"/>
        <v>0</v>
      </c>
      <c r="S61" s="152"/>
      <c r="T61" s="166" t="str">
        <f t="shared" si="8"/>
        <v>NA</v>
      </c>
      <c r="U61" s="142">
        <f t="shared" si="2"/>
        <v>0</v>
      </c>
      <c r="V61" s="151"/>
      <c r="W61" s="167">
        <f t="shared" si="9"/>
        <v>0</v>
      </c>
      <c r="X61" s="151"/>
      <c r="Y61" s="167">
        <f t="shared" si="10"/>
        <v>0</v>
      </c>
      <c r="Z61" s="151"/>
      <c r="AA61" s="167">
        <f t="shared" si="11"/>
        <v>0</v>
      </c>
      <c r="AB61" s="151"/>
      <c r="AC61" s="167" t="str">
        <f t="shared" si="3"/>
        <v>NA</v>
      </c>
      <c r="AD61" s="143">
        <f t="shared" si="28"/>
        <v>0</v>
      </c>
      <c r="AE61" s="134"/>
      <c r="AF61" s="135">
        <f t="shared" si="12"/>
        <v>0</v>
      </c>
      <c r="AG61" s="134"/>
      <c r="AH61" s="135" t="str">
        <f t="shared" si="13"/>
        <v>NA</v>
      </c>
      <c r="AI61" s="134"/>
      <c r="AJ61" s="135" t="str">
        <f t="shared" si="14"/>
        <v>NA</v>
      </c>
      <c r="AK61" s="133">
        <f t="shared" si="15"/>
        <v>0</v>
      </c>
      <c r="AL61" s="133"/>
      <c r="AM61" s="182" t="str">
        <f t="shared" si="16"/>
        <v>NA</v>
      </c>
      <c r="AN61" s="133"/>
      <c r="AO61" s="182" t="str">
        <f t="shared" si="17"/>
        <v>NA</v>
      </c>
      <c r="AP61" s="133"/>
      <c r="AQ61" s="182" t="str">
        <f t="shared" si="18"/>
        <v>NA</v>
      </c>
      <c r="AR61" s="133">
        <f t="shared" si="19"/>
        <v>0</v>
      </c>
      <c r="AS61" s="134"/>
      <c r="AT61" s="135">
        <f t="shared" si="20"/>
        <v>0</v>
      </c>
      <c r="AU61" s="134"/>
      <c r="AV61" s="135" t="str">
        <f t="shared" si="21"/>
        <v>NA</v>
      </c>
      <c r="AW61" s="134"/>
      <c r="AX61" s="135" t="str">
        <f t="shared" si="22"/>
        <v>NA</v>
      </c>
      <c r="AY61" s="133">
        <f t="shared" si="23"/>
        <v>0</v>
      </c>
      <c r="AZ61" s="168">
        <f t="shared" si="24"/>
        <v>0</v>
      </c>
      <c r="BA61" s="173">
        <f t="shared" si="25"/>
        <v>0</v>
      </c>
    </row>
    <row r="62" spans="1:53" ht="20.100000000000001" hidden="1" customHeight="1" x14ac:dyDescent="0.25">
      <c r="A62" s="151">
        <f>IF((A61+1)&lt;=Outline!$E$12,A61+1,0)</f>
        <v>11</v>
      </c>
      <c r="B62" s="117"/>
      <c r="C62" s="118"/>
      <c r="D62" s="170"/>
      <c r="E62" s="165">
        <f t="shared" si="1"/>
        <v>0</v>
      </c>
      <c r="F62" s="151"/>
      <c r="G62" s="165">
        <f t="shared" si="26"/>
        <v>0</v>
      </c>
      <c r="H62" s="151"/>
      <c r="I62" s="165">
        <f t="shared" si="27"/>
        <v>0</v>
      </c>
      <c r="J62" s="151"/>
      <c r="K62" s="165" t="str">
        <f t="shared" si="4"/>
        <v>NA</v>
      </c>
      <c r="L62" s="141">
        <f t="shared" si="29"/>
        <v>0</v>
      </c>
      <c r="M62" s="152"/>
      <c r="N62" s="166">
        <f t="shared" si="5"/>
        <v>0</v>
      </c>
      <c r="O62" s="152"/>
      <c r="P62" s="166">
        <f t="shared" si="6"/>
        <v>0</v>
      </c>
      <c r="Q62" s="152"/>
      <c r="R62" s="166">
        <f t="shared" si="7"/>
        <v>0</v>
      </c>
      <c r="S62" s="152"/>
      <c r="T62" s="166" t="str">
        <f t="shared" si="8"/>
        <v>NA</v>
      </c>
      <c r="U62" s="142">
        <f t="shared" si="2"/>
        <v>0</v>
      </c>
      <c r="V62" s="151"/>
      <c r="W62" s="167">
        <f t="shared" si="9"/>
        <v>0</v>
      </c>
      <c r="X62" s="151"/>
      <c r="Y62" s="167">
        <f t="shared" si="10"/>
        <v>0</v>
      </c>
      <c r="Z62" s="151"/>
      <c r="AA62" s="167">
        <f t="shared" si="11"/>
        <v>0</v>
      </c>
      <c r="AB62" s="151"/>
      <c r="AC62" s="167" t="str">
        <f t="shared" si="3"/>
        <v>NA</v>
      </c>
      <c r="AD62" s="143">
        <f t="shared" si="28"/>
        <v>0</v>
      </c>
      <c r="AE62" s="134"/>
      <c r="AF62" s="135">
        <f t="shared" si="12"/>
        <v>0</v>
      </c>
      <c r="AG62" s="134"/>
      <c r="AH62" s="135" t="str">
        <f t="shared" si="13"/>
        <v>NA</v>
      </c>
      <c r="AI62" s="134"/>
      <c r="AJ62" s="135" t="str">
        <f t="shared" si="14"/>
        <v>NA</v>
      </c>
      <c r="AK62" s="133">
        <f t="shared" si="15"/>
        <v>0</v>
      </c>
      <c r="AL62" s="133"/>
      <c r="AM62" s="182" t="str">
        <f t="shared" si="16"/>
        <v>NA</v>
      </c>
      <c r="AN62" s="133"/>
      <c r="AO62" s="182" t="str">
        <f t="shared" si="17"/>
        <v>NA</v>
      </c>
      <c r="AP62" s="133"/>
      <c r="AQ62" s="182" t="str">
        <f t="shared" si="18"/>
        <v>NA</v>
      </c>
      <c r="AR62" s="133">
        <f t="shared" si="19"/>
        <v>0</v>
      </c>
      <c r="AS62" s="134"/>
      <c r="AT62" s="135">
        <f t="shared" si="20"/>
        <v>0</v>
      </c>
      <c r="AU62" s="134"/>
      <c r="AV62" s="135" t="str">
        <f t="shared" si="21"/>
        <v>NA</v>
      </c>
      <c r="AW62" s="134"/>
      <c r="AX62" s="135" t="str">
        <f t="shared" si="22"/>
        <v>NA</v>
      </c>
      <c r="AY62" s="133">
        <f t="shared" si="23"/>
        <v>0</v>
      </c>
      <c r="AZ62" s="168">
        <f t="shared" si="24"/>
        <v>0</v>
      </c>
      <c r="BA62" s="173">
        <f t="shared" si="25"/>
        <v>0</v>
      </c>
    </row>
    <row r="63" spans="1:53" ht="20.100000000000001" hidden="1" customHeight="1" x14ac:dyDescent="0.25">
      <c r="A63" s="151">
        <f>IF((A62+1)&lt;=Outline!$E$12,A62+1,0)</f>
        <v>12</v>
      </c>
      <c r="B63" s="117"/>
      <c r="C63" s="118"/>
      <c r="D63" s="170"/>
      <c r="E63" s="165">
        <f t="shared" si="1"/>
        <v>0</v>
      </c>
      <c r="F63" s="151"/>
      <c r="G63" s="165">
        <f t="shared" si="26"/>
        <v>0</v>
      </c>
      <c r="H63" s="151"/>
      <c r="I63" s="165">
        <f t="shared" si="27"/>
        <v>0</v>
      </c>
      <c r="J63" s="151"/>
      <c r="K63" s="165" t="str">
        <f t="shared" si="4"/>
        <v>NA</v>
      </c>
      <c r="L63" s="141">
        <f t="shared" si="29"/>
        <v>0</v>
      </c>
      <c r="M63" s="152"/>
      <c r="N63" s="166">
        <f t="shared" si="5"/>
        <v>0</v>
      </c>
      <c r="O63" s="152"/>
      <c r="P63" s="166">
        <f t="shared" si="6"/>
        <v>0</v>
      </c>
      <c r="Q63" s="152"/>
      <c r="R63" s="166">
        <f t="shared" si="7"/>
        <v>0</v>
      </c>
      <c r="S63" s="152"/>
      <c r="T63" s="166" t="str">
        <f t="shared" si="8"/>
        <v>NA</v>
      </c>
      <c r="U63" s="142">
        <f t="shared" si="2"/>
        <v>0</v>
      </c>
      <c r="V63" s="151"/>
      <c r="W63" s="167">
        <f t="shared" si="9"/>
        <v>0</v>
      </c>
      <c r="X63" s="151"/>
      <c r="Y63" s="167">
        <f t="shared" si="10"/>
        <v>0</v>
      </c>
      <c r="Z63" s="151"/>
      <c r="AA63" s="167">
        <f t="shared" si="11"/>
        <v>0</v>
      </c>
      <c r="AB63" s="151"/>
      <c r="AC63" s="167" t="str">
        <f t="shared" si="3"/>
        <v>NA</v>
      </c>
      <c r="AD63" s="143">
        <f t="shared" si="28"/>
        <v>0</v>
      </c>
      <c r="AE63" s="134"/>
      <c r="AF63" s="135">
        <f t="shared" si="12"/>
        <v>0</v>
      </c>
      <c r="AG63" s="134"/>
      <c r="AH63" s="135" t="str">
        <f t="shared" si="13"/>
        <v>NA</v>
      </c>
      <c r="AI63" s="134"/>
      <c r="AJ63" s="135" t="str">
        <f t="shared" si="14"/>
        <v>NA</v>
      </c>
      <c r="AK63" s="133">
        <f t="shared" si="15"/>
        <v>0</v>
      </c>
      <c r="AL63" s="133"/>
      <c r="AM63" s="182" t="str">
        <f t="shared" si="16"/>
        <v>NA</v>
      </c>
      <c r="AN63" s="133"/>
      <c r="AO63" s="182" t="str">
        <f t="shared" si="17"/>
        <v>NA</v>
      </c>
      <c r="AP63" s="133"/>
      <c r="AQ63" s="182" t="str">
        <f t="shared" si="18"/>
        <v>NA</v>
      </c>
      <c r="AR63" s="133">
        <f t="shared" si="19"/>
        <v>0</v>
      </c>
      <c r="AS63" s="134"/>
      <c r="AT63" s="135">
        <f t="shared" si="20"/>
        <v>0</v>
      </c>
      <c r="AU63" s="134"/>
      <c r="AV63" s="135" t="str">
        <f t="shared" si="21"/>
        <v>NA</v>
      </c>
      <c r="AW63" s="134"/>
      <c r="AX63" s="135" t="str">
        <f t="shared" si="22"/>
        <v>NA</v>
      </c>
      <c r="AY63" s="133">
        <f t="shared" si="23"/>
        <v>0</v>
      </c>
      <c r="AZ63" s="168">
        <f t="shared" si="24"/>
        <v>0</v>
      </c>
      <c r="BA63" s="173">
        <f t="shared" si="25"/>
        <v>0</v>
      </c>
    </row>
    <row r="64" spans="1:53" ht="20.100000000000001" hidden="1" customHeight="1" x14ac:dyDescent="0.25">
      <c r="A64" s="151">
        <f>IF((A63+1)&lt;=Outline!$E$12,A63+1,0)</f>
        <v>13</v>
      </c>
      <c r="B64" s="117"/>
      <c r="C64" s="118"/>
      <c r="D64" s="170"/>
      <c r="E64" s="165">
        <f t="shared" si="1"/>
        <v>0</v>
      </c>
      <c r="F64" s="151"/>
      <c r="G64" s="165">
        <f t="shared" si="26"/>
        <v>0</v>
      </c>
      <c r="H64" s="151"/>
      <c r="I64" s="165">
        <f t="shared" si="27"/>
        <v>0</v>
      </c>
      <c r="J64" s="151"/>
      <c r="K64" s="165" t="str">
        <f t="shared" si="4"/>
        <v>NA</v>
      </c>
      <c r="L64" s="141">
        <f t="shared" si="29"/>
        <v>0</v>
      </c>
      <c r="M64" s="152"/>
      <c r="N64" s="166">
        <f t="shared" si="5"/>
        <v>0</v>
      </c>
      <c r="O64" s="152"/>
      <c r="P64" s="166">
        <f t="shared" si="6"/>
        <v>0</v>
      </c>
      <c r="Q64" s="152"/>
      <c r="R64" s="166">
        <f t="shared" si="7"/>
        <v>0</v>
      </c>
      <c r="S64" s="152"/>
      <c r="T64" s="166" t="str">
        <f t="shared" si="8"/>
        <v>NA</v>
      </c>
      <c r="U64" s="142">
        <f t="shared" si="2"/>
        <v>0</v>
      </c>
      <c r="V64" s="151"/>
      <c r="W64" s="167">
        <f t="shared" si="9"/>
        <v>0</v>
      </c>
      <c r="X64" s="151"/>
      <c r="Y64" s="167">
        <f t="shared" si="10"/>
        <v>0</v>
      </c>
      <c r="Z64" s="151"/>
      <c r="AA64" s="167">
        <f t="shared" si="11"/>
        <v>0</v>
      </c>
      <c r="AB64" s="151"/>
      <c r="AC64" s="167" t="str">
        <f t="shared" si="3"/>
        <v>NA</v>
      </c>
      <c r="AD64" s="143">
        <f t="shared" si="28"/>
        <v>0</v>
      </c>
      <c r="AE64" s="134"/>
      <c r="AF64" s="135">
        <f t="shared" si="12"/>
        <v>0</v>
      </c>
      <c r="AG64" s="134"/>
      <c r="AH64" s="135" t="str">
        <f t="shared" si="13"/>
        <v>NA</v>
      </c>
      <c r="AI64" s="134"/>
      <c r="AJ64" s="135" t="str">
        <f t="shared" si="14"/>
        <v>NA</v>
      </c>
      <c r="AK64" s="133">
        <f t="shared" si="15"/>
        <v>0</v>
      </c>
      <c r="AL64" s="133"/>
      <c r="AM64" s="182" t="str">
        <f t="shared" si="16"/>
        <v>NA</v>
      </c>
      <c r="AN64" s="133"/>
      <c r="AO64" s="182" t="str">
        <f t="shared" si="17"/>
        <v>NA</v>
      </c>
      <c r="AP64" s="133"/>
      <c r="AQ64" s="182" t="str">
        <f t="shared" si="18"/>
        <v>NA</v>
      </c>
      <c r="AR64" s="133">
        <f t="shared" si="19"/>
        <v>0</v>
      </c>
      <c r="AS64" s="134"/>
      <c r="AT64" s="135">
        <f t="shared" si="20"/>
        <v>0</v>
      </c>
      <c r="AU64" s="134"/>
      <c r="AV64" s="135" t="str">
        <f t="shared" si="21"/>
        <v>NA</v>
      </c>
      <c r="AW64" s="134"/>
      <c r="AX64" s="135" t="str">
        <f t="shared" si="22"/>
        <v>NA</v>
      </c>
      <c r="AY64" s="133">
        <f t="shared" si="23"/>
        <v>0</v>
      </c>
      <c r="AZ64" s="168">
        <f t="shared" si="24"/>
        <v>0</v>
      </c>
      <c r="BA64" s="173">
        <f t="shared" si="25"/>
        <v>0</v>
      </c>
    </row>
    <row r="65" spans="1:53" ht="20.100000000000001" hidden="1" customHeight="1" x14ac:dyDescent="0.25">
      <c r="A65" s="151">
        <f>IF((A64+1)&lt;=Outline!$E$12,A64+1,0)</f>
        <v>14</v>
      </c>
      <c r="B65" s="117"/>
      <c r="C65" s="118"/>
      <c r="D65" s="170"/>
      <c r="E65" s="165">
        <f t="shared" si="1"/>
        <v>0</v>
      </c>
      <c r="F65" s="151"/>
      <c r="G65" s="165">
        <f t="shared" si="26"/>
        <v>0</v>
      </c>
      <c r="H65" s="151"/>
      <c r="I65" s="165">
        <f t="shared" si="27"/>
        <v>0</v>
      </c>
      <c r="J65" s="151"/>
      <c r="K65" s="165" t="str">
        <f t="shared" si="4"/>
        <v>NA</v>
      </c>
      <c r="L65" s="141">
        <f t="shared" si="29"/>
        <v>0</v>
      </c>
      <c r="M65" s="152"/>
      <c r="N65" s="166">
        <f t="shared" si="5"/>
        <v>0</v>
      </c>
      <c r="O65" s="152"/>
      <c r="P65" s="166">
        <f t="shared" si="6"/>
        <v>0</v>
      </c>
      <c r="Q65" s="152"/>
      <c r="R65" s="166">
        <f t="shared" si="7"/>
        <v>0</v>
      </c>
      <c r="S65" s="152"/>
      <c r="T65" s="166" t="str">
        <f t="shared" si="8"/>
        <v>NA</v>
      </c>
      <c r="U65" s="142">
        <f t="shared" si="2"/>
        <v>0</v>
      </c>
      <c r="V65" s="151"/>
      <c r="W65" s="167">
        <f t="shared" si="9"/>
        <v>0</v>
      </c>
      <c r="X65" s="151"/>
      <c r="Y65" s="167">
        <f t="shared" si="10"/>
        <v>0</v>
      </c>
      <c r="Z65" s="151"/>
      <c r="AA65" s="167">
        <f t="shared" si="11"/>
        <v>0</v>
      </c>
      <c r="AB65" s="151"/>
      <c r="AC65" s="167" t="str">
        <f t="shared" si="3"/>
        <v>NA</v>
      </c>
      <c r="AD65" s="143">
        <f t="shared" si="28"/>
        <v>0</v>
      </c>
      <c r="AE65" s="134"/>
      <c r="AF65" s="135">
        <f t="shared" si="12"/>
        <v>0</v>
      </c>
      <c r="AG65" s="134"/>
      <c r="AH65" s="135" t="str">
        <f t="shared" si="13"/>
        <v>NA</v>
      </c>
      <c r="AI65" s="134"/>
      <c r="AJ65" s="135" t="str">
        <f t="shared" si="14"/>
        <v>NA</v>
      </c>
      <c r="AK65" s="133">
        <f t="shared" si="15"/>
        <v>0</v>
      </c>
      <c r="AL65" s="133"/>
      <c r="AM65" s="182" t="str">
        <f t="shared" si="16"/>
        <v>NA</v>
      </c>
      <c r="AN65" s="133"/>
      <c r="AO65" s="182" t="str">
        <f t="shared" si="17"/>
        <v>NA</v>
      </c>
      <c r="AP65" s="133"/>
      <c r="AQ65" s="182" t="str">
        <f t="shared" si="18"/>
        <v>NA</v>
      </c>
      <c r="AR65" s="133">
        <f t="shared" si="19"/>
        <v>0</v>
      </c>
      <c r="AS65" s="134"/>
      <c r="AT65" s="135">
        <f t="shared" si="20"/>
        <v>0</v>
      </c>
      <c r="AU65" s="134"/>
      <c r="AV65" s="135" t="str">
        <f t="shared" si="21"/>
        <v>NA</v>
      </c>
      <c r="AW65" s="134"/>
      <c r="AX65" s="135" t="str">
        <f t="shared" si="22"/>
        <v>NA</v>
      </c>
      <c r="AY65" s="133">
        <f t="shared" si="23"/>
        <v>0</v>
      </c>
      <c r="AZ65" s="168">
        <f t="shared" si="24"/>
        <v>0</v>
      </c>
      <c r="BA65" s="173">
        <f t="shared" si="25"/>
        <v>0</v>
      </c>
    </row>
    <row r="66" spans="1:53" ht="20.100000000000001" hidden="1" customHeight="1" x14ac:dyDescent="0.25">
      <c r="A66" s="151">
        <f>IF((A65+1)&lt;=Outline!$E$12,A65+1,0)</f>
        <v>15</v>
      </c>
      <c r="B66" s="117"/>
      <c r="C66" s="118"/>
      <c r="D66" s="170"/>
      <c r="E66" s="165">
        <f t="shared" si="1"/>
        <v>0</v>
      </c>
      <c r="F66" s="151"/>
      <c r="G66" s="165">
        <f t="shared" si="26"/>
        <v>0</v>
      </c>
      <c r="H66" s="151"/>
      <c r="I66" s="165">
        <f t="shared" si="27"/>
        <v>0</v>
      </c>
      <c r="J66" s="151"/>
      <c r="K66" s="165" t="str">
        <f t="shared" si="4"/>
        <v>NA</v>
      </c>
      <c r="L66" s="141">
        <f t="shared" si="29"/>
        <v>0</v>
      </c>
      <c r="M66" s="152"/>
      <c r="N66" s="166">
        <f t="shared" si="5"/>
        <v>0</v>
      </c>
      <c r="O66" s="152"/>
      <c r="P66" s="166">
        <f t="shared" si="6"/>
        <v>0</v>
      </c>
      <c r="Q66" s="152"/>
      <c r="R66" s="166">
        <f t="shared" si="7"/>
        <v>0</v>
      </c>
      <c r="S66" s="152"/>
      <c r="T66" s="166" t="str">
        <f t="shared" si="8"/>
        <v>NA</v>
      </c>
      <c r="U66" s="142">
        <f t="shared" si="2"/>
        <v>0</v>
      </c>
      <c r="V66" s="151"/>
      <c r="W66" s="167">
        <f t="shared" si="9"/>
        <v>0</v>
      </c>
      <c r="X66" s="151"/>
      <c r="Y66" s="167">
        <f t="shared" si="10"/>
        <v>0</v>
      </c>
      <c r="Z66" s="151"/>
      <c r="AA66" s="167">
        <f t="shared" si="11"/>
        <v>0</v>
      </c>
      <c r="AB66" s="151"/>
      <c r="AC66" s="167" t="str">
        <f t="shared" si="3"/>
        <v>NA</v>
      </c>
      <c r="AD66" s="143">
        <f t="shared" si="28"/>
        <v>0</v>
      </c>
      <c r="AE66" s="134"/>
      <c r="AF66" s="135">
        <f t="shared" si="12"/>
        <v>0</v>
      </c>
      <c r="AG66" s="134"/>
      <c r="AH66" s="135" t="str">
        <f t="shared" si="13"/>
        <v>NA</v>
      </c>
      <c r="AI66" s="134"/>
      <c r="AJ66" s="135" t="str">
        <f t="shared" si="14"/>
        <v>NA</v>
      </c>
      <c r="AK66" s="133">
        <f t="shared" si="15"/>
        <v>0</v>
      </c>
      <c r="AL66" s="133"/>
      <c r="AM66" s="182" t="str">
        <f t="shared" si="16"/>
        <v>NA</v>
      </c>
      <c r="AN66" s="133"/>
      <c r="AO66" s="182" t="str">
        <f t="shared" si="17"/>
        <v>NA</v>
      </c>
      <c r="AP66" s="133"/>
      <c r="AQ66" s="182" t="str">
        <f t="shared" si="18"/>
        <v>NA</v>
      </c>
      <c r="AR66" s="133">
        <f t="shared" si="19"/>
        <v>0</v>
      </c>
      <c r="AS66" s="134"/>
      <c r="AT66" s="135">
        <f t="shared" si="20"/>
        <v>0</v>
      </c>
      <c r="AU66" s="134"/>
      <c r="AV66" s="135" t="str">
        <f t="shared" si="21"/>
        <v>NA</v>
      </c>
      <c r="AW66" s="134"/>
      <c r="AX66" s="135" t="str">
        <f t="shared" si="22"/>
        <v>NA</v>
      </c>
      <c r="AY66" s="133">
        <f t="shared" si="23"/>
        <v>0</v>
      </c>
      <c r="AZ66" s="168">
        <f t="shared" si="24"/>
        <v>0</v>
      </c>
      <c r="BA66" s="173">
        <f t="shared" si="25"/>
        <v>0</v>
      </c>
    </row>
    <row r="67" spans="1:53" ht="20.100000000000001" hidden="1" customHeight="1" x14ac:dyDescent="0.25">
      <c r="A67" s="151">
        <f>IF((A66+1)&lt;=Outline!$E$12,A66+1,0)</f>
        <v>16</v>
      </c>
      <c r="B67" s="117"/>
      <c r="C67" s="118"/>
      <c r="D67" s="170"/>
      <c r="E67" s="165">
        <f t="shared" si="1"/>
        <v>0</v>
      </c>
      <c r="F67" s="151"/>
      <c r="G67" s="165">
        <f t="shared" si="26"/>
        <v>0</v>
      </c>
      <c r="H67" s="151"/>
      <c r="I67" s="165">
        <f t="shared" si="27"/>
        <v>0</v>
      </c>
      <c r="J67" s="151"/>
      <c r="K67" s="165" t="str">
        <f t="shared" si="4"/>
        <v>NA</v>
      </c>
      <c r="L67" s="141">
        <f t="shared" si="29"/>
        <v>0</v>
      </c>
      <c r="M67" s="152"/>
      <c r="N67" s="166">
        <f t="shared" si="5"/>
        <v>0</v>
      </c>
      <c r="O67" s="152"/>
      <c r="P67" s="166">
        <f t="shared" si="6"/>
        <v>0</v>
      </c>
      <c r="Q67" s="152"/>
      <c r="R67" s="166">
        <f t="shared" si="7"/>
        <v>0</v>
      </c>
      <c r="S67" s="152"/>
      <c r="T67" s="166" t="str">
        <f t="shared" si="8"/>
        <v>NA</v>
      </c>
      <c r="U67" s="142">
        <f t="shared" si="2"/>
        <v>0</v>
      </c>
      <c r="V67" s="151"/>
      <c r="W67" s="167">
        <f t="shared" si="9"/>
        <v>0</v>
      </c>
      <c r="X67" s="151"/>
      <c r="Y67" s="167">
        <f t="shared" si="10"/>
        <v>0</v>
      </c>
      <c r="Z67" s="151"/>
      <c r="AA67" s="167">
        <f t="shared" si="11"/>
        <v>0</v>
      </c>
      <c r="AB67" s="151"/>
      <c r="AC67" s="167" t="str">
        <f t="shared" si="3"/>
        <v>NA</v>
      </c>
      <c r="AD67" s="143">
        <f t="shared" si="28"/>
        <v>0</v>
      </c>
      <c r="AE67" s="134"/>
      <c r="AF67" s="135">
        <f t="shared" si="12"/>
        <v>0</v>
      </c>
      <c r="AG67" s="134"/>
      <c r="AH67" s="135" t="str">
        <f t="shared" si="13"/>
        <v>NA</v>
      </c>
      <c r="AI67" s="134"/>
      <c r="AJ67" s="135" t="str">
        <f t="shared" si="14"/>
        <v>NA</v>
      </c>
      <c r="AK67" s="133">
        <f t="shared" si="15"/>
        <v>0</v>
      </c>
      <c r="AL67" s="133"/>
      <c r="AM67" s="182" t="str">
        <f t="shared" si="16"/>
        <v>NA</v>
      </c>
      <c r="AN67" s="133"/>
      <c r="AO67" s="182" t="str">
        <f t="shared" si="17"/>
        <v>NA</v>
      </c>
      <c r="AP67" s="133"/>
      <c r="AQ67" s="182" t="str">
        <f t="shared" si="18"/>
        <v>NA</v>
      </c>
      <c r="AR67" s="133">
        <f t="shared" si="19"/>
        <v>0</v>
      </c>
      <c r="AS67" s="134"/>
      <c r="AT67" s="135">
        <f t="shared" si="20"/>
        <v>0</v>
      </c>
      <c r="AU67" s="134"/>
      <c r="AV67" s="135" t="str">
        <f t="shared" si="21"/>
        <v>NA</v>
      </c>
      <c r="AW67" s="134"/>
      <c r="AX67" s="135" t="str">
        <f t="shared" si="22"/>
        <v>NA</v>
      </c>
      <c r="AY67" s="133">
        <f t="shared" si="23"/>
        <v>0</v>
      </c>
      <c r="AZ67" s="168">
        <f t="shared" si="24"/>
        <v>0</v>
      </c>
      <c r="BA67" s="173">
        <f t="shared" si="25"/>
        <v>0</v>
      </c>
    </row>
    <row r="68" spans="1:53" ht="20.100000000000001" hidden="1" customHeight="1" x14ac:dyDescent="0.25">
      <c r="A68" s="151">
        <f>IF((A67+1)&lt;=Outline!$E$12,A67+1,0)</f>
        <v>17</v>
      </c>
      <c r="B68" s="117"/>
      <c r="C68" s="118"/>
      <c r="D68" s="170"/>
      <c r="E68" s="165">
        <f t="shared" si="1"/>
        <v>0</v>
      </c>
      <c r="F68" s="151"/>
      <c r="G68" s="165">
        <f t="shared" si="26"/>
        <v>0</v>
      </c>
      <c r="H68" s="151"/>
      <c r="I68" s="165">
        <f t="shared" si="27"/>
        <v>0</v>
      </c>
      <c r="J68" s="151"/>
      <c r="K68" s="165" t="str">
        <f t="shared" si="4"/>
        <v>NA</v>
      </c>
      <c r="L68" s="141">
        <f t="shared" si="29"/>
        <v>0</v>
      </c>
      <c r="M68" s="152"/>
      <c r="N68" s="166">
        <f t="shared" si="5"/>
        <v>0</v>
      </c>
      <c r="O68" s="152"/>
      <c r="P68" s="166">
        <f t="shared" si="6"/>
        <v>0</v>
      </c>
      <c r="Q68" s="152"/>
      <c r="R68" s="166">
        <f t="shared" si="7"/>
        <v>0</v>
      </c>
      <c r="S68" s="152"/>
      <c r="T68" s="166" t="str">
        <f t="shared" si="8"/>
        <v>NA</v>
      </c>
      <c r="U68" s="142">
        <f t="shared" si="2"/>
        <v>0</v>
      </c>
      <c r="V68" s="151"/>
      <c r="W68" s="167">
        <f t="shared" si="9"/>
        <v>0</v>
      </c>
      <c r="X68" s="151"/>
      <c r="Y68" s="167">
        <f t="shared" si="10"/>
        <v>0</v>
      </c>
      <c r="Z68" s="151"/>
      <c r="AA68" s="167">
        <f t="shared" si="11"/>
        <v>0</v>
      </c>
      <c r="AB68" s="151"/>
      <c r="AC68" s="167" t="str">
        <f t="shared" si="3"/>
        <v>NA</v>
      </c>
      <c r="AD68" s="143">
        <f t="shared" si="28"/>
        <v>0</v>
      </c>
      <c r="AE68" s="134"/>
      <c r="AF68" s="135">
        <f t="shared" si="12"/>
        <v>0</v>
      </c>
      <c r="AG68" s="134"/>
      <c r="AH68" s="135" t="str">
        <f t="shared" si="13"/>
        <v>NA</v>
      </c>
      <c r="AI68" s="134"/>
      <c r="AJ68" s="135" t="str">
        <f t="shared" si="14"/>
        <v>NA</v>
      </c>
      <c r="AK68" s="133">
        <f t="shared" si="15"/>
        <v>0</v>
      </c>
      <c r="AL68" s="133"/>
      <c r="AM68" s="182" t="str">
        <f t="shared" si="16"/>
        <v>NA</v>
      </c>
      <c r="AN68" s="133"/>
      <c r="AO68" s="182" t="str">
        <f t="shared" si="17"/>
        <v>NA</v>
      </c>
      <c r="AP68" s="133"/>
      <c r="AQ68" s="182" t="str">
        <f t="shared" si="18"/>
        <v>NA</v>
      </c>
      <c r="AR68" s="133">
        <f t="shared" si="19"/>
        <v>0</v>
      </c>
      <c r="AS68" s="134"/>
      <c r="AT68" s="135">
        <f t="shared" si="20"/>
        <v>0</v>
      </c>
      <c r="AU68" s="134"/>
      <c r="AV68" s="135" t="str">
        <f t="shared" si="21"/>
        <v>NA</v>
      </c>
      <c r="AW68" s="134"/>
      <c r="AX68" s="135" t="str">
        <f t="shared" si="22"/>
        <v>NA</v>
      </c>
      <c r="AY68" s="133">
        <f t="shared" si="23"/>
        <v>0</v>
      </c>
      <c r="AZ68" s="168">
        <f t="shared" si="24"/>
        <v>0</v>
      </c>
      <c r="BA68" s="173">
        <f t="shared" si="25"/>
        <v>0</v>
      </c>
    </row>
    <row r="69" spans="1:53" ht="20.100000000000001" hidden="1" customHeight="1" x14ac:dyDescent="0.25">
      <c r="A69" s="151">
        <f>IF((A68+1)&lt;=Outline!$E$12,A68+1,0)</f>
        <v>18</v>
      </c>
      <c r="B69" s="117"/>
      <c r="C69" s="118"/>
      <c r="D69" s="170"/>
      <c r="E69" s="165">
        <f t="shared" si="1"/>
        <v>0</v>
      </c>
      <c r="F69" s="151"/>
      <c r="G69" s="165">
        <f t="shared" si="26"/>
        <v>0</v>
      </c>
      <c r="H69" s="151"/>
      <c r="I69" s="165">
        <f t="shared" si="27"/>
        <v>0</v>
      </c>
      <c r="J69" s="151"/>
      <c r="K69" s="165" t="str">
        <f t="shared" si="4"/>
        <v>NA</v>
      </c>
      <c r="L69" s="141">
        <f t="shared" si="29"/>
        <v>0</v>
      </c>
      <c r="M69" s="152"/>
      <c r="N69" s="166">
        <f t="shared" si="5"/>
        <v>0</v>
      </c>
      <c r="O69" s="152"/>
      <c r="P69" s="166">
        <f t="shared" si="6"/>
        <v>0</v>
      </c>
      <c r="Q69" s="152"/>
      <c r="R69" s="166">
        <f t="shared" si="7"/>
        <v>0</v>
      </c>
      <c r="S69" s="152"/>
      <c r="T69" s="166" t="str">
        <f t="shared" si="8"/>
        <v>NA</v>
      </c>
      <c r="U69" s="142">
        <f t="shared" si="2"/>
        <v>0</v>
      </c>
      <c r="V69" s="151"/>
      <c r="W69" s="167">
        <f t="shared" si="9"/>
        <v>0</v>
      </c>
      <c r="X69" s="151"/>
      <c r="Y69" s="167">
        <f t="shared" si="10"/>
        <v>0</v>
      </c>
      <c r="Z69" s="151"/>
      <c r="AA69" s="167">
        <f t="shared" si="11"/>
        <v>0</v>
      </c>
      <c r="AB69" s="151"/>
      <c r="AC69" s="167" t="str">
        <f t="shared" si="3"/>
        <v>NA</v>
      </c>
      <c r="AD69" s="143">
        <f t="shared" si="28"/>
        <v>0</v>
      </c>
      <c r="AE69" s="134"/>
      <c r="AF69" s="135">
        <f t="shared" si="12"/>
        <v>0</v>
      </c>
      <c r="AG69" s="134"/>
      <c r="AH69" s="135" t="str">
        <f t="shared" si="13"/>
        <v>NA</v>
      </c>
      <c r="AI69" s="134"/>
      <c r="AJ69" s="135" t="str">
        <f t="shared" si="14"/>
        <v>NA</v>
      </c>
      <c r="AK69" s="133">
        <f t="shared" si="15"/>
        <v>0</v>
      </c>
      <c r="AL69" s="133"/>
      <c r="AM69" s="182" t="str">
        <f t="shared" si="16"/>
        <v>NA</v>
      </c>
      <c r="AN69" s="133"/>
      <c r="AO69" s="182" t="str">
        <f t="shared" si="17"/>
        <v>NA</v>
      </c>
      <c r="AP69" s="133"/>
      <c r="AQ69" s="182" t="str">
        <f t="shared" si="18"/>
        <v>NA</v>
      </c>
      <c r="AR69" s="133">
        <f t="shared" si="19"/>
        <v>0</v>
      </c>
      <c r="AS69" s="134"/>
      <c r="AT69" s="135">
        <f t="shared" si="20"/>
        <v>0</v>
      </c>
      <c r="AU69" s="134"/>
      <c r="AV69" s="135" t="str">
        <f t="shared" si="21"/>
        <v>NA</v>
      </c>
      <c r="AW69" s="134"/>
      <c r="AX69" s="135" t="str">
        <f t="shared" si="22"/>
        <v>NA</v>
      </c>
      <c r="AY69" s="133">
        <f t="shared" si="23"/>
        <v>0</v>
      </c>
      <c r="AZ69" s="168">
        <f t="shared" si="24"/>
        <v>0</v>
      </c>
      <c r="BA69" s="173">
        <f t="shared" si="25"/>
        <v>0</v>
      </c>
    </row>
    <row r="70" spans="1:53" ht="20.100000000000001" hidden="1" customHeight="1" x14ac:dyDescent="0.25">
      <c r="A70" s="151">
        <f>IF((A69+1)&lt;=Outline!$E$12,A69+1,0)</f>
        <v>19</v>
      </c>
      <c r="B70" s="117"/>
      <c r="C70" s="118"/>
      <c r="D70" s="170"/>
      <c r="E70" s="165">
        <f t="shared" si="1"/>
        <v>0</v>
      </c>
      <c r="F70" s="151"/>
      <c r="G70" s="165">
        <f t="shared" si="26"/>
        <v>0</v>
      </c>
      <c r="H70" s="151"/>
      <c r="I70" s="165">
        <f t="shared" si="27"/>
        <v>0</v>
      </c>
      <c r="J70" s="151"/>
      <c r="K70" s="165" t="str">
        <f t="shared" si="4"/>
        <v>NA</v>
      </c>
      <c r="L70" s="141">
        <f t="shared" si="29"/>
        <v>0</v>
      </c>
      <c r="M70" s="152"/>
      <c r="N70" s="166">
        <f t="shared" si="5"/>
        <v>0</v>
      </c>
      <c r="O70" s="152"/>
      <c r="P70" s="166">
        <f t="shared" si="6"/>
        <v>0</v>
      </c>
      <c r="Q70" s="152"/>
      <c r="R70" s="166">
        <f t="shared" si="7"/>
        <v>0</v>
      </c>
      <c r="S70" s="152"/>
      <c r="T70" s="166" t="str">
        <f t="shared" si="8"/>
        <v>NA</v>
      </c>
      <c r="U70" s="142">
        <f t="shared" si="2"/>
        <v>0</v>
      </c>
      <c r="V70" s="151"/>
      <c r="W70" s="167">
        <f t="shared" si="9"/>
        <v>0</v>
      </c>
      <c r="X70" s="151"/>
      <c r="Y70" s="167">
        <f t="shared" si="10"/>
        <v>0</v>
      </c>
      <c r="Z70" s="151"/>
      <c r="AA70" s="167">
        <f t="shared" si="11"/>
        <v>0</v>
      </c>
      <c r="AB70" s="151"/>
      <c r="AC70" s="167" t="str">
        <f t="shared" si="3"/>
        <v>NA</v>
      </c>
      <c r="AD70" s="143">
        <f t="shared" si="28"/>
        <v>0</v>
      </c>
      <c r="AE70" s="134"/>
      <c r="AF70" s="135">
        <f t="shared" si="12"/>
        <v>0</v>
      </c>
      <c r="AG70" s="134"/>
      <c r="AH70" s="135" t="str">
        <f t="shared" si="13"/>
        <v>NA</v>
      </c>
      <c r="AI70" s="134"/>
      <c r="AJ70" s="135" t="str">
        <f t="shared" si="14"/>
        <v>NA</v>
      </c>
      <c r="AK70" s="133">
        <f t="shared" si="15"/>
        <v>0</v>
      </c>
      <c r="AL70" s="133"/>
      <c r="AM70" s="182" t="str">
        <f t="shared" si="16"/>
        <v>NA</v>
      </c>
      <c r="AN70" s="133"/>
      <c r="AO70" s="182" t="str">
        <f t="shared" si="17"/>
        <v>NA</v>
      </c>
      <c r="AP70" s="133"/>
      <c r="AQ70" s="182" t="str">
        <f t="shared" si="18"/>
        <v>NA</v>
      </c>
      <c r="AR70" s="133">
        <f t="shared" si="19"/>
        <v>0</v>
      </c>
      <c r="AS70" s="134"/>
      <c r="AT70" s="135">
        <f t="shared" si="20"/>
        <v>0</v>
      </c>
      <c r="AU70" s="134"/>
      <c r="AV70" s="135" t="str">
        <f t="shared" si="21"/>
        <v>NA</v>
      </c>
      <c r="AW70" s="134"/>
      <c r="AX70" s="135" t="str">
        <f t="shared" si="22"/>
        <v>NA</v>
      </c>
      <c r="AY70" s="133">
        <f t="shared" si="23"/>
        <v>0</v>
      </c>
      <c r="AZ70" s="168">
        <f t="shared" si="24"/>
        <v>0</v>
      </c>
      <c r="BA70" s="173">
        <f t="shared" si="25"/>
        <v>0</v>
      </c>
    </row>
    <row r="71" spans="1:53" ht="20.100000000000001" hidden="1" customHeight="1" x14ac:dyDescent="0.25">
      <c r="A71" s="151">
        <f>IF((A70+1)&lt;=Outline!$E$12,A70+1,0)</f>
        <v>20</v>
      </c>
      <c r="B71" s="117"/>
      <c r="C71" s="118"/>
      <c r="D71" s="170"/>
      <c r="E71" s="165">
        <f t="shared" si="1"/>
        <v>0</v>
      </c>
      <c r="F71" s="151"/>
      <c r="G71" s="165">
        <f t="shared" si="26"/>
        <v>0</v>
      </c>
      <c r="H71" s="151"/>
      <c r="I71" s="165">
        <f t="shared" si="27"/>
        <v>0</v>
      </c>
      <c r="J71" s="151"/>
      <c r="K71" s="165" t="str">
        <f t="shared" si="4"/>
        <v>NA</v>
      </c>
      <c r="L71" s="141">
        <f t="shared" si="29"/>
        <v>0</v>
      </c>
      <c r="M71" s="152"/>
      <c r="N71" s="166">
        <f t="shared" si="5"/>
        <v>0</v>
      </c>
      <c r="O71" s="152"/>
      <c r="P71" s="166">
        <f t="shared" si="6"/>
        <v>0</v>
      </c>
      <c r="Q71" s="152"/>
      <c r="R71" s="166">
        <f t="shared" si="7"/>
        <v>0</v>
      </c>
      <c r="S71" s="152"/>
      <c r="T71" s="166" t="str">
        <f t="shared" si="8"/>
        <v>NA</v>
      </c>
      <c r="U71" s="142">
        <f t="shared" si="2"/>
        <v>0</v>
      </c>
      <c r="V71" s="151"/>
      <c r="W71" s="167">
        <f t="shared" si="9"/>
        <v>0</v>
      </c>
      <c r="X71" s="151"/>
      <c r="Y71" s="167">
        <f t="shared" si="10"/>
        <v>0</v>
      </c>
      <c r="Z71" s="151"/>
      <c r="AA71" s="167">
        <f t="shared" si="11"/>
        <v>0</v>
      </c>
      <c r="AB71" s="151"/>
      <c r="AC71" s="167" t="str">
        <f t="shared" si="3"/>
        <v>NA</v>
      </c>
      <c r="AD71" s="143">
        <f t="shared" si="28"/>
        <v>0</v>
      </c>
      <c r="AE71" s="134"/>
      <c r="AF71" s="135">
        <f t="shared" si="12"/>
        <v>0</v>
      </c>
      <c r="AG71" s="134"/>
      <c r="AH71" s="135" t="str">
        <f t="shared" si="13"/>
        <v>NA</v>
      </c>
      <c r="AI71" s="134"/>
      <c r="AJ71" s="135" t="str">
        <f t="shared" si="14"/>
        <v>NA</v>
      </c>
      <c r="AK71" s="133">
        <f t="shared" si="15"/>
        <v>0</v>
      </c>
      <c r="AL71" s="133"/>
      <c r="AM71" s="182" t="str">
        <f t="shared" si="16"/>
        <v>NA</v>
      </c>
      <c r="AN71" s="133"/>
      <c r="AO71" s="182" t="str">
        <f t="shared" si="17"/>
        <v>NA</v>
      </c>
      <c r="AP71" s="133"/>
      <c r="AQ71" s="182" t="str">
        <f t="shared" si="18"/>
        <v>NA</v>
      </c>
      <c r="AR71" s="133">
        <f t="shared" si="19"/>
        <v>0</v>
      </c>
      <c r="AS71" s="134"/>
      <c r="AT71" s="135">
        <f t="shared" si="20"/>
        <v>0</v>
      </c>
      <c r="AU71" s="134"/>
      <c r="AV71" s="135" t="str">
        <f t="shared" si="21"/>
        <v>NA</v>
      </c>
      <c r="AW71" s="134"/>
      <c r="AX71" s="135" t="str">
        <f t="shared" si="22"/>
        <v>NA</v>
      </c>
      <c r="AY71" s="133">
        <f t="shared" si="23"/>
        <v>0</v>
      </c>
      <c r="AZ71" s="168">
        <f t="shared" si="24"/>
        <v>0</v>
      </c>
      <c r="BA71" s="173">
        <f t="shared" si="25"/>
        <v>0</v>
      </c>
    </row>
    <row r="72" spans="1:53" ht="20.100000000000001" hidden="1" customHeight="1" x14ac:dyDescent="0.25">
      <c r="A72" s="151">
        <f>IF((A71+1)&lt;=Outline!$E$12,A71+1,0)</f>
        <v>21</v>
      </c>
      <c r="B72" s="117"/>
      <c r="C72" s="118"/>
      <c r="D72" s="170"/>
      <c r="E72" s="165">
        <f t="shared" si="1"/>
        <v>0</v>
      </c>
      <c r="F72" s="151"/>
      <c r="G72" s="165">
        <f t="shared" si="26"/>
        <v>0</v>
      </c>
      <c r="H72" s="151"/>
      <c r="I72" s="165">
        <f t="shared" si="27"/>
        <v>0</v>
      </c>
      <c r="J72" s="151"/>
      <c r="K72" s="165" t="str">
        <f t="shared" si="4"/>
        <v>NA</v>
      </c>
      <c r="L72" s="141">
        <f t="shared" ref="L72:L103" si="30">SUM(D72,F72,H72,J72)</f>
        <v>0</v>
      </c>
      <c r="M72" s="152"/>
      <c r="N72" s="166">
        <f t="shared" si="5"/>
        <v>0</v>
      </c>
      <c r="O72" s="152"/>
      <c r="P72" s="166">
        <f t="shared" si="6"/>
        <v>0</v>
      </c>
      <c r="Q72" s="152"/>
      <c r="R72" s="166">
        <f t="shared" si="7"/>
        <v>0</v>
      </c>
      <c r="S72" s="152"/>
      <c r="T72" s="166" t="str">
        <f t="shared" si="8"/>
        <v>NA</v>
      </c>
      <c r="U72" s="142">
        <f t="shared" si="2"/>
        <v>0</v>
      </c>
      <c r="V72" s="151"/>
      <c r="W72" s="167">
        <f t="shared" si="9"/>
        <v>0</v>
      </c>
      <c r="X72" s="151"/>
      <c r="Y72" s="167">
        <f t="shared" si="10"/>
        <v>0</v>
      </c>
      <c r="Z72" s="151"/>
      <c r="AA72" s="167">
        <f t="shared" si="11"/>
        <v>0</v>
      </c>
      <c r="AB72" s="151"/>
      <c r="AC72" s="167" t="str">
        <f t="shared" si="3"/>
        <v>NA</v>
      </c>
      <c r="AD72" s="143">
        <f t="shared" si="28"/>
        <v>0</v>
      </c>
      <c r="AE72" s="134"/>
      <c r="AF72" s="135">
        <f t="shared" si="12"/>
        <v>0</v>
      </c>
      <c r="AG72" s="134"/>
      <c r="AH72" s="135" t="str">
        <f t="shared" si="13"/>
        <v>NA</v>
      </c>
      <c r="AI72" s="134"/>
      <c r="AJ72" s="135" t="str">
        <f t="shared" si="14"/>
        <v>NA</v>
      </c>
      <c r="AK72" s="133">
        <f t="shared" si="15"/>
        <v>0</v>
      </c>
      <c r="AL72" s="133"/>
      <c r="AM72" s="182" t="str">
        <f t="shared" si="16"/>
        <v>NA</v>
      </c>
      <c r="AN72" s="133"/>
      <c r="AO72" s="182" t="str">
        <f t="shared" si="17"/>
        <v>NA</v>
      </c>
      <c r="AP72" s="133"/>
      <c r="AQ72" s="182" t="str">
        <f t="shared" si="18"/>
        <v>NA</v>
      </c>
      <c r="AR72" s="133">
        <f t="shared" si="19"/>
        <v>0</v>
      </c>
      <c r="AS72" s="134"/>
      <c r="AT72" s="135">
        <f t="shared" si="20"/>
        <v>0</v>
      </c>
      <c r="AU72" s="134"/>
      <c r="AV72" s="135" t="str">
        <f t="shared" si="21"/>
        <v>NA</v>
      </c>
      <c r="AW72" s="134"/>
      <c r="AX72" s="135" t="str">
        <f t="shared" si="22"/>
        <v>NA</v>
      </c>
      <c r="AY72" s="133">
        <f t="shared" si="23"/>
        <v>0</v>
      </c>
      <c r="AZ72" s="168">
        <f t="shared" si="24"/>
        <v>0</v>
      </c>
      <c r="BA72" s="173">
        <f t="shared" si="25"/>
        <v>0</v>
      </c>
    </row>
    <row r="73" spans="1:53" ht="20.100000000000001" hidden="1" customHeight="1" x14ac:dyDescent="0.25">
      <c r="A73" s="151">
        <f>IF((A72+1)&lt;=Outline!$E$12,A72+1,0)</f>
        <v>22</v>
      </c>
      <c r="B73" s="117"/>
      <c r="C73" s="118"/>
      <c r="D73" s="170"/>
      <c r="E73" s="165">
        <f t="shared" ref="E73:E118" si="31">IF($D$8=0,"NA",D73/$D$8)</f>
        <v>0</v>
      </c>
      <c r="F73" s="151"/>
      <c r="G73" s="165">
        <f t="shared" si="26"/>
        <v>0</v>
      </c>
      <c r="H73" s="151"/>
      <c r="I73" s="165">
        <f t="shared" si="27"/>
        <v>0</v>
      </c>
      <c r="J73" s="151"/>
      <c r="K73" s="165" t="str">
        <f t="shared" si="4"/>
        <v>NA</v>
      </c>
      <c r="L73" s="141">
        <f t="shared" si="30"/>
        <v>0</v>
      </c>
      <c r="M73" s="152"/>
      <c r="N73" s="166">
        <f t="shared" si="5"/>
        <v>0</v>
      </c>
      <c r="O73" s="152"/>
      <c r="P73" s="166">
        <f t="shared" si="6"/>
        <v>0</v>
      </c>
      <c r="Q73" s="152"/>
      <c r="R73" s="166">
        <f t="shared" si="7"/>
        <v>0</v>
      </c>
      <c r="S73" s="152"/>
      <c r="T73" s="166" t="str">
        <f t="shared" si="8"/>
        <v>NA</v>
      </c>
      <c r="U73" s="142">
        <f t="shared" ref="U73:U118" si="32">SUM(M73,O73,Q73,S73)</f>
        <v>0</v>
      </c>
      <c r="V73" s="151"/>
      <c r="W73" s="167">
        <f t="shared" si="9"/>
        <v>0</v>
      </c>
      <c r="X73" s="151"/>
      <c r="Y73" s="167">
        <f t="shared" si="10"/>
        <v>0</v>
      </c>
      <c r="Z73" s="151"/>
      <c r="AA73" s="167">
        <f t="shared" si="11"/>
        <v>0</v>
      </c>
      <c r="AB73" s="151"/>
      <c r="AC73" s="167" t="str">
        <f t="shared" si="3"/>
        <v>NA</v>
      </c>
      <c r="AD73" s="143">
        <f t="shared" si="28"/>
        <v>0</v>
      </c>
      <c r="AE73" s="134"/>
      <c r="AF73" s="135">
        <f t="shared" si="12"/>
        <v>0</v>
      </c>
      <c r="AG73" s="134"/>
      <c r="AH73" s="135" t="str">
        <f t="shared" si="13"/>
        <v>NA</v>
      </c>
      <c r="AI73" s="134"/>
      <c r="AJ73" s="135" t="str">
        <f t="shared" si="14"/>
        <v>NA</v>
      </c>
      <c r="AK73" s="133">
        <f t="shared" si="15"/>
        <v>0</v>
      </c>
      <c r="AL73" s="133"/>
      <c r="AM73" s="182" t="str">
        <f t="shared" si="16"/>
        <v>NA</v>
      </c>
      <c r="AN73" s="133"/>
      <c r="AO73" s="182" t="str">
        <f t="shared" si="17"/>
        <v>NA</v>
      </c>
      <c r="AP73" s="133"/>
      <c r="AQ73" s="182" t="str">
        <f t="shared" si="18"/>
        <v>NA</v>
      </c>
      <c r="AR73" s="133">
        <f t="shared" si="19"/>
        <v>0</v>
      </c>
      <c r="AS73" s="134"/>
      <c r="AT73" s="135">
        <f t="shared" si="20"/>
        <v>0</v>
      </c>
      <c r="AU73" s="134"/>
      <c r="AV73" s="135" t="str">
        <f t="shared" si="21"/>
        <v>NA</v>
      </c>
      <c r="AW73" s="134"/>
      <c r="AX73" s="135" t="str">
        <f t="shared" si="22"/>
        <v>NA</v>
      </c>
      <c r="AY73" s="133">
        <f t="shared" si="23"/>
        <v>0</v>
      </c>
      <c r="AZ73" s="168">
        <f t="shared" si="24"/>
        <v>0</v>
      </c>
      <c r="BA73" s="173">
        <f t="shared" si="25"/>
        <v>0</v>
      </c>
    </row>
    <row r="74" spans="1:53" ht="20.100000000000001" hidden="1" customHeight="1" x14ac:dyDescent="0.25">
      <c r="A74" s="151">
        <f>IF((A73+1)&lt;=Outline!$E$12,A73+1,0)</f>
        <v>23</v>
      </c>
      <c r="B74" s="117"/>
      <c r="C74" s="118"/>
      <c r="D74" s="170"/>
      <c r="E74" s="165">
        <f t="shared" si="31"/>
        <v>0</v>
      </c>
      <c r="F74" s="151"/>
      <c r="G74" s="165">
        <f t="shared" ref="G74:G118" si="33">IF($F$8=0,"NA",F74/$F$8)</f>
        <v>0</v>
      </c>
      <c r="H74" s="151"/>
      <c r="I74" s="165">
        <f t="shared" ref="I74:I118" si="34">IF($H$8=0,"NA",H74/$H$8)</f>
        <v>0</v>
      </c>
      <c r="J74" s="151"/>
      <c r="K74" s="165" t="str">
        <f t="shared" ref="K74:K118" si="35">IF($J$8=0,"NA",J74/$J$8)</f>
        <v>NA</v>
      </c>
      <c r="L74" s="141">
        <f t="shared" si="30"/>
        <v>0</v>
      </c>
      <c r="M74" s="152"/>
      <c r="N74" s="166">
        <f t="shared" ref="N74:N118" si="36">IF($M$8=0,"NA",M74/$M$8)</f>
        <v>0</v>
      </c>
      <c r="O74" s="152"/>
      <c r="P74" s="166">
        <f t="shared" ref="P74:P118" si="37">IF($O$8=0,"NA",O74/$O$8)</f>
        <v>0</v>
      </c>
      <c r="Q74" s="152"/>
      <c r="R74" s="166">
        <f t="shared" ref="R74:R118" si="38">IF($Q$8=0,"NA",Q74/$Q$8)</f>
        <v>0</v>
      </c>
      <c r="S74" s="152"/>
      <c r="T74" s="166" t="str">
        <f t="shared" ref="T74:T118" si="39">IF($S$8=0,"NA",S74/$S$8)</f>
        <v>NA</v>
      </c>
      <c r="U74" s="142">
        <f t="shared" si="32"/>
        <v>0</v>
      </c>
      <c r="V74" s="151"/>
      <c r="W74" s="167">
        <f t="shared" ref="W74:W118" si="40">IF($V$8=0,"NA",V74/$V$8)</f>
        <v>0</v>
      </c>
      <c r="X74" s="151"/>
      <c r="Y74" s="167">
        <f t="shared" ref="Y74:Y118" si="41">IF($X$8=0,"NA",X74/$X$8)</f>
        <v>0</v>
      </c>
      <c r="Z74" s="151"/>
      <c r="AA74" s="167">
        <f t="shared" ref="AA74:AA118" si="42">IF($Z$8=0,"NA",Z74/$Z$8)</f>
        <v>0</v>
      </c>
      <c r="AB74" s="151"/>
      <c r="AC74" s="167" t="str">
        <f t="shared" ref="AC74:AC118" si="43">IF($AB$8=0,"NA",AB74/$AB$8)</f>
        <v>NA</v>
      </c>
      <c r="AD74" s="143">
        <f t="shared" ref="AD74:AD118" si="44">SUM(V74,X74,Z74,AB74)</f>
        <v>0</v>
      </c>
      <c r="AE74" s="134"/>
      <c r="AF74" s="135">
        <f t="shared" ref="AF74:AF118" si="45">IF($AE$8=0,"NA",AE74/$AE$8)</f>
        <v>0</v>
      </c>
      <c r="AG74" s="134"/>
      <c r="AH74" s="135" t="str">
        <f t="shared" ref="AH74:AH118" si="46">IF($AG$8=0,"NA",AG74/$AG$8)</f>
        <v>NA</v>
      </c>
      <c r="AI74" s="134"/>
      <c r="AJ74" s="135" t="str">
        <f t="shared" ref="AJ74:AJ118" si="47">IF($AI$8=0,"NA",AI74/$AI$8)</f>
        <v>NA</v>
      </c>
      <c r="AK74" s="133">
        <f t="shared" ref="AK74:AK118" si="48">SUM(AE74,AG74,AI74)</f>
        <v>0</v>
      </c>
      <c r="AL74" s="133"/>
      <c r="AM74" s="182" t="str">
        <f t="shared" ref="AM74:AM118" si="49">IF(AND($AL$7&lt;&gt;0,$AL$8&lt;&gt;0),AL74/$AL$8,"NA")</f>
        <v>NA</v>
      </c>
      <c r="AN74" s="133"/>
      <c r="AO74" s="182" t="str">
        <f t="shared" ref="AO74:AO118" si="50">IF(AND($AN$7&lt;&gt;0,$AN$8&lt;&gt;0),AN74/$AN$8,"NA")</f>
        <v>NA</v>
      </c>
      <c r="AP74" s="133"/>
      <c r="AQ74" s="182" t="str">
        <f t="shared" ref="AQ74:AQ118" si="51">IF(AND($AP$7&lt;&gt;0,$AP$8&lt;&gt;0),AP74/$AP$8,"NA")</f>
        <v>NA</v>
      </c>
      <c r="AR74" s="133">
        <f t="shared" ref="AR74:AR118" si="52">SUM(AL74,AN74,AP74)</f>
        <v>0</v>
      </c>
      <c r="AS74" s="134"/>
      <c r="AT74" s="135">
        <f t="shared" ref="AT74:AT118" si="53">IF($AS$8=0,"NA",AS74/$AS$8)</f>
        <v>0</v>
      </c>
      <c r="AU74" s="134"/>
      <c r="AV74" s="135" t="str">
        <f t="shared" ref="AV74:AV118" si="54">IF($AU$8=0,"NA",AU74/$AU$8)</f>
        <v>NA</v>
      </c>
      <c r="AW74" s="134"/>
      <c r="AX74" s="135" t="str">
        <f t="shared" ref="AX74:AX118" si="55">IF($AW$8=0,"NA",AW74/$AW$8)</f>
        <v>NA</v>
      </c>
      <c r="AY74" s="133">
        <f t="shared" ref="AY74:AY118" si="56">SUM(AS74,AU74,AW74)</f>
        <v>0</v>
      </c>
      <c r="AZ74" s="168">
        <f t="shared" ref="AZ74:AZ118" si="57">SUM(AK74,AR74,AY74)</f>
        <v>0</v>
      </c>
      <c r="BA74" s="173">
        <f t="shared" ref="BA74:BA118" si="58">SUM(L74,U74,AD74,AK74,AR74,AY74)</f>
        <v>0</v>
      </c>
    </row>
    <row r="75" spans="1:53" ht="20.100000000000001" hidden="1" customHeight="1" x14ac:dyDescent="0.25">
      <c r="A75" s="151">
        <f>IF((A74+1)&lt;=Outline!$E$12,A74+1,0)</f>
        <v>24</v>
      </c>
      <c r="B75" s="117"/>
      <c r="C75" s="118"/>
      <c r="D75" s="170"/>
      <c r="E75" s="165">
        <f t="shared" si="31"/>
        <v>0</v>
      </c>
      <c r="F75" s="151"/>
      <c r="G75" s="165">
        <f t="shared" si="33"/>
        <v>0</v>
      </c>
      <c r="H75" s="151"/>
      <c r="I75" s="165">
        <f t="shared" si="34"/>
        <v>0</v>
      </c>
      <c r="J75" s="151"/>
      <c r="K75" s="165" t="str">
        <f t="shared" si="35"/>
        <v>NA</v>
      </c>
      <c r="L75" s="141">
        <f t="shared" si="30"/>
        <v>0</v>
      </c>
      <c r="M75" s="152"/>
      <c r="N75" s="166">
        <f t="shared" si="36"/>
        <v>0</v>
      </c>
      <c r="O75" s="152"/>
      <c r="P75" s="166">
        <f t="shared" si="37"/>
        <v>0</v>
      </c>
      <c r="Q75" s="152"/>
      <c r="R75" s="166">
        <f t="shared" si="38"/>
        <v>0</v>
      </c>
      <c r="S75" s="152"/>
      <c r="T75" s="166" t="str">
        <f t="shared" si="39"/>
        <v>NA</v>
      </c>
      <c r="U75" s="142">
        <f t="shared" si="32"/>
        <v>0</v>
      </c>
      <c r="V75" s="151"/>
      <c r="W75" s="167">
        <f t="shared" si="40"/>
        <v>0</v>
      </c>
      <c r="X75" s="151"/>
      <c r="Y75" s="167">
        <f t="shared" si="41"/>
        <v>0</v>
      </c>
      <c r="Z75" s="151"/>
      <c r="AA75" s="167">
        <f t="shared" si="42"/>
        <v>0</v>
      </c>
      <c r="AB75" s="151"/>
      <c r="AC75" s="167" t="str">
        <f t="shared" si="43"/>
        <v>NA</v>
      </c>
      <c r="AD75" s="143">
        <f t="shared" si="44"/>
        <v>0</v>
      </c>
      <c r="AE75" s="134"/>
      <c r="AF75" s="135">
        <f t="shared" si="45"/>
        <v>0</v>
      </c>
      <c r="AG75" s="134"/>
      <c r="AH75" s="135" t="str">
        <f t="shared" si="46"/>
        <v>NA</v>
      </c>
      <c r="AI75" s="134"/>
      <c r="AJ75" s="135" t="str">
        <f t="shared" si="47"/>
        <v>NA</v>
      </c>
      <c r="AK75" s="133">
        <f t="shared" si="48"/>
        <v>0</v>
      </c>
      <c r="AL75" s="133"/>
      <c r="AM75" s="182" t="str">
        <f t="shared" si="49"/>
        <v>NA</v>
      </c>
      <c r="AN75" s="133"/>
      <c r="AO75" s="182" t="str">
        <f t="shared" si="50"/>
        <v>NA</v>
      </c>
      <c r="AP75" s="133"/>
      <c r="AQ75" s="182" t="str">
        <f t="shared" si="51"/>
        <v>NA</v>
      </c>
      <c r="AR75" s="133">
        <f t="shared" si="52"/>
        <v>0</v>
      </c>
      <c r="AS75" s="134"/>
      <c r="AT75" s="135">
        <f t="shared" si="53"/>
        <v>0</v>
      </c>
      <c r="AU75" s="134"/>
      <c r="AV75" s="135" t="str">
        <f t="shared" si="54"/>
        <v>NA</v>
      </c>
      <c r="AW75" s="134"/>
      <c r="AX75" s="135" t="str">
        <f t="shared" si="55"/>
        <v>NA</v>
      </c>
      <c r="AY75" s="133">
        <f t="shared" si="56"/>
        <v>0</v>
      </c>
      <c r="AZ75" s="168">
        <f t="shared" si="57"/>
        <v>0</v>
      </c>
      <c r="BA75" s="173">
        <f t="shared" si="58"/>
        <v>0</v>
      </c>
    </row>
    <row r="76" spans="1:53" ht="20.100000000000001" hidden="1" customHeight="1" x14ac:dyDescent="0.25">
      <c r="A76" s="151">
        <f>IF((A75+1)&lt;=Outline!$E$12,A75+1,0)</f>
        <v>25</v>
      </c>
      <c r="B76" s="117"/>
      <c r="C76" s="118"/>
      <c r="D76" s="170"/>
      <c r="E76" s="165">
        <f t="shared" si="31"/>
        <v>0</v>
      </c>
      <c r="F76" s="151"/>
      <c r="G76" s="165">
        <f t="shared" si="33"/>
        <v>0</v>
      </c>
      <c r="H76" s="151"/>
      <c r="I76" s="165">
        <f t="shared" si="34"/>
        <v>0</v>
      </c>
      <c r="J76" s="151"/>
      <c r="K76" s="165" t="str">
        <f t="shared" si="35"/>
        <v>NA</v>
      </c>
      <c r="L76" s="141">
        <f t="shared" si="30"/>
        <v>0</v>
      </c>
      <c r="M76" s="152"/>
      <c r="N76" s="166">
        <f t="shared" si="36"/>
        <v>0</v>
      </c>
      <c r="O76" s="152"/>
      <c r="P76" s="166">
        <f t="shared" si="37"/>
        <v>0</v>
      </c>
      <c r="Q76" s="152"/>
      <c r="R76" s="166">
        <f t="shared" si="38"/>
        <v>0</v>
      </c>
      <c r="S76" s="152"/>
      <c r="T76" s="166" t="str">
        <f t="shared" si="39"/>
        <v>NA</v>
      </c>
      <c r="U76" s="142">
        <f t="shared" si="32"/>
        <v>0</v>
      </c>
      <c r="V76" s="151"/>
      <c r="W76" s="167">
        <f t="shared" si="40"/>
        <v>0</v>
      </c>
      <c r="X76" s="151"/>
      <c r="Y76" s="167">
        <f t="shared" si="41"/>
        <v>0</v>
      </c>
      <c r="Z76" s="151"/>
      <c r="AA76" s="167">
        <f t="shared" si="42"/>
        <v>0</v>
      </c>
      <c r="AB76" s="151"/>
      <c r="AC76" s="167" t="str">
        <f t="shared" si="43"/>
        <v>NA</v>
      </c>
      <c r="AD76" s="143">
        <f t="shared" si="44"/>
        <v>0</v>
      </c>
      <c r="AE76" s="134"/>
      <c r="AF76" s="135">
        <f t="shared" si="45"/>
        <v>0</v>
      </c>
      <c r="AG76" s="134"/>
      <c r="AH76" s="135" t="str">
        <f t="shared" si="46"/>
        <v>NA</v>
      </c>
      <c r="AI76" s="134"/>
      <c r="AJ76" s="135" t="str">
        <f t="shared" si="47"/>
        <v>NA</v>
      </c>
      <c r="AK76" s="133">
        <f t="shared" si="48"/>
        <v>0</v>
      </c>
      <c r="AL76" s="133"/>
      <c r="AM76" s="182" t="str">
        <f t="shared" si="49"/>
        <v>NA</v>
      </c>
      <c r="AN76" s="133"/>
      <c r="AO76" s="182" t="str">
        <f t="shared" si="50"/>
        <v>NA</v>
      </c>
      <c r="AP76" s="133"/>
      <c r="AQ76" s="182" t="str">
        <f t="shared" si="51"/>
        <v>NA</v>
      </c>
      <c r="AR76" s="133">
        <f t="shared" si="52"/>
        <v>0</v>
      </c>
      <c r="AS76" s="134"/>
      <c r="AT76" s="135">
        <f t="shared" si="53"/>
        <v>0</v>
      </c>
      <c r="AU76" s="134"/>
      <c r="AV76" s="135" t="str">
        <f t="shared" si="54"/>
        <v>NA</v>
      </c>
      <c r="AW76" s="134"/>
      <c r="AX76" s="135" t="str">
        <f t="shared" si="55"/>
        <v>NA</v>
      </c>
      <c r="AY76" s="133">
        <f t="shared" si="56"/>
        <v>0</v>
      </c>
      <c r="AZ76" s="168">
        <f t="shared" si="57"/>
        <v>0</v>
      </c>
      <c r="BA76" s="173">
        <f t="shared" si="58"/>
        <v>0</v>
      </c>
    </row>
    <row r="77" spans="1:53" ht="20.100000000000001" hidden="1" customHeight="1" x14ac:dyDescent="0.25">
      <c r="A77" s="151">
        <f>IF((A76+1)&lt;=Outline!$E$12,A76+1,0)</f>
        <v>26</v>
      </c>
      <c r="B77" s="117"/>
      <c r="C77" s="118"/>
      <c r="D77" s="170"/>
      <c r="E77" s="165">
        <f t="shared" si="31"/>
        <v>0</v>
      </c>
      <c r="F77" s="151"/>
      <c r="G77" s="165">
        <f t="shared" si="33"/>
        <v>0</v>
      </c>
      <c r="H77" s="151"/>
      <c r="I77" s="165">
        <f t="shared" si="34"/>
        <v>0</v>
      </c>
      <c r="J77" s="151"/>
      <c r="K77" s="165" t="str">
        <f t="shared" si="35"/>
        <v>NA</v>
      </c>
      <c r="L77" s="141">
        <f t="shared" si="30"/>
        <v>0</v>
      </c>
      <c r="M77" s="152"/>
      <c r="N77" s="166">
        <f t="shared" si="36"/>
        <v>0</v>
      </c>
      <c r="O77" s="152"/>
      <c r="P77" s="166">
        <f t="shared" si="37"/>
        <v>0</v>
      </c>
      <c r="Q77" s="152"/>
      <c r="R77" s="166">
        <f t="shared" si="38"/>
        <v>0</v>
      </c>
      <c r="S77" s="152"/>
      <c r="T77" s="166" t="str">
        <f t="shared" si="39"/>
        <v>NA</v>
      </c>
      <c r="U77" s="142">
        <f t="shared" si="32"/>
        <v>0</v>
      </c>
      <c r="V77" s="151"/>
      <c r="W77" s="167">
        <f t="shared" si="40"/>
        <v>0</v>
      </c>
      <c r="X77" s="151"/>
      <c r="Y77" s="167">
        <f t="shared" si="41"/>
        <v>0</v>
      </c>
      <c r="Z77" s="151"/>
      <c r="AA77" s="167">
        <f t="shared" si="42"/>
        <v>0</v>
      </c>
      <c r="AB77" s="151"/>
      <c r="AC77" s="167" t="str">
        <f t="shared" si="43"/>
        <v>NA</v>
      </c>
      <c r="AD77" s="143">
        <f t="shared" si="44"/>
        <v>0</v>
      </c>
      <c r="AE77" s="134"/>
      <c r="AF77" s="135">
        <f t="shared" si="45"/>
        <v>0</v>
      </c>
      <c r="AG77" s="134"/>
      <c r="AH77" s="135" t="str">
        <f t="shared" si="46"/>
        <v>NA</v>
      </c>
      <c r="AI77" s="134"/>
      <c r="AJ77" s="135" t="str">
        <f t="shared" si="47"/>
        <v>NA</v>
      </c>
      <c r="AK77" s="133">
        <f t="shared" si="48"/>
        <v>0</v>
      </c>
      <c r="AL77" s="133"/>
      <c r="AM77" s="182" t="str">
        <f t="shared" si="49"/>
        <v>NA</v>
      </c>
      <c r="AN77" s="133"/>
      <c r="AO77" s="182" t="str">
        <f t="shared" si="50"/>
        <v>NA</v>
      </c>
      <c r="AP77" s="133"/>
      <c r="AQ77" s="182" t="str">
        <f t="shared" si="51"/>
        <v>NA</v>
      </c>
      <c r="AR77" s="133">
        <f t="shared" si="52"/>
        <v>0</v>
      </c>
      <c r="AS77" s="134"/>
      <c r="AT77" s="135">
        <f t="shared" si="53"/>
        <v>0</v>
      </c>
      <c r="AU77" s="134"/>
      <c r="AV77" s="135" t="str">
        <f t="shared" si="54"/>
        <v>NA</v>
      </c>
      <c r="AW77" s="134"/>
      <c r="AX77" s="135" t="str">
        <f t="shared" si="55"/>
        <v>NA</v>
      </c>
      <c r="AY77" s="133">
        <f t="shared" si="56"/>
        <v>0</v>
      </c>
      <c r="AZ77" s="168">
        <f t="shared" si="57"/>
        <v>0</v>
      </c>
      <c r="BA77" s="173">
        <f t="shared" si="58"/>
        <v>0</v>
      </c>
    </row>
    <row r="78" spans="1:53" ht="20.100000000000001" hidden="1" customHeight="1" x14ac:dyDescent="0.25">
      <c r="A78" s="151">
        <f>IF((A77+1)&lt;=Outline!$E$12,A77+1,0)</f>
        <v>27</v>
      </c>
      <c r="B78" s="117"/>
      <c r="C78" s="118"/>
      <c r="D78" s="170"/>
      <c r="E78" s="165">
        <f t="shared" si="31"/>
        <v>0</v>
      </c>
      <c r="F78" s="151"/>
      <c r="G78" s="165">
        <f t="shared" si="33"/>
        <v>0</v>
      </c>
      <c r="H78" s="151"/>
      <c r="I78" s="165">
        <f t="shared" si="34"/>
        <v>0</v>
      </c>
      <c r="J78" s="151"/>
      <c r="K78" s="165" t="str">
        <f t="shared" si="35"/>
        <v>NA</v>
      </c>
      <c r="L78" s="141">
        <f t="shared" si="30"/>
        <v>0</v>
      </c>
      <c r="M78" s="152"/>
      <c r="N78" s="166">
        <f t="shared" si="36"/>
        <v>0</v>
      </c>
      <c r="O78" s="152"/>
      <c r="P78" s="166">
        <f t="shared" si="37"/>
        <v>0</v>
      </c>
      <c r="Q78" s="152"/>
      <c r="R78" s="166">
        <f t="shared" si="38"/>
        <v>0</v>
      </c>
      <c r="S78" s="152"/>
      <c r="T78" s="166" t="str">
        <f t="shared" si="39"/>
        <v>NA</v>
      </c>
      <c r="U78" s="142">
        <f t="shared" si="32"/>
        <v>0</v>
      </c>
      <c r="V78" s="151"/>
      <c r="W78" s="167">
        <f t="shared" si="40"/>
        <v>0</v>
      </c>
      <c r="X78" s="151"/>
      <c r="Y78" s="167">
        <f t="shared" si="41"/>
        <v>0</v>
      </c>
      <c r="Z78" s="151"/>
      <c r="AA78" s="167">
        <f t="shared" si="42"/>
        <v>0</v>
      </c>
      <c r="AB78" s="151"/>
      <c r="AC78" s="167" t="str">
        <f t="shared" si="43"/>
        <v>NA</v>
      </c>
      <c r="AD78" s="143">
        <f t="shared" si="44"/>
        <v>0</v>
      </c>
      <c r="AE78" s="134"/>
      <c r="AF78" s="135">
        <f t="shared" si="45"/>
        <v>0</v>
      </c>
      <c r="AG78" s="134"/>
      <c r="AH78" s="135" t="str">
        <f t="shared" si="46"/>
        <v>NA</v>
      </c>
      <c r="AI78" s="134"/>
      <c r="AJ78" s="135" t="str">
        <f t="shared" si="47"/>
        <v>NA</v>
      </c>
      <c r="AK78" s="133">
        <f t="shared" si="48"/>
        <v>0</v>
      </c>
      <c r="AL78" s="133"/>
      <c r="AM78" s="182" t="str">
        <f t="shared" si="49"/>
        <v>NA</v>
      </c>
      <c r="AN78" s="133"/>
      <c r="AO78" s="182" t="str">
        <f t="shared" si="50"/>
        <v>NA</v>
      </c>
      <c r="AP78" s="133"/>
      <c r="AQ78" s="182" t="str">
        <f t="shared" si="51"/>
        <v>NA</v>
      </c>
      <c r="AR78" s="133">
        <f t="shared" si="52"/>
        <v>0</v>
      </c>
      <c r="AS78" s="134"/>
      <c r="AT78" s="135">
        <f t="shared" si="53"/>
        <v>0</v>
      </c>
      <c r="AU78" s="134"/>
      <c r="AV78" s="135" t="str">
        <f t="shared" si="54"/>
        <v>NA</v>
      </c>
      <c r="AW78" s="134"/>
      <c r="AX78" s="135" t="str">
        <f t="shared" si="55"/>
        <v>NA</v>
      </c>
      <c r="AY78" s="133">
        <f t="shared" si="56"/>
        <v>0</v>
      </c>
      <c r="AZ78" s="168">
        <f t="shared" si="57"/>
        <v>0</v>
      </c>
      <c r="BA78" s="173">
        <f t="shared" si="58"/>
        <v>0</v>
      </c>
    </row>
    <row r="79" spans="1:53" ht="20.100000000000001" hidden="1" customHeight="1" x14ac:dyDescent="0.25">
      <c r="A79" s="151">
        <f>IF((A78+1)&lt;=Outline!$E$12,A78+1,0)</f>
        <v>28</v>
      </c>
      <c r="B79" s="117"/>
      <c r="C79" s="118"/>
      <c r="D79" s="170"/>
      <c r="E79" s="165">
        <f t="shared" si="31"/>
        <v>0</v>
      </c>
      <c r="F79" s="151"/>
      <c r="G79" s="165">
        <f t="shared" si="33"/>
        <v>0</v>
      </c>
      <c r="H79" s="151"/>
      <c r="I79" s="165">
        <f t="shared" si="34"/>
        <v>0</v>
      </c>
      <c r="J79" s="151"/>
      <c r="K79" s="165" t="str">
        <f t="shared" si="35"/>
        <v>NA</v>
      </c>
      <c r="L79" s="141">
        <f t="shared" si="30"/>
        <v>0</v>
      </c>
      <c r="M79" s="152"/>
      <c r="N79" s="166">
        <f t="shared" si="36"/>
        <v>0</v>
      </c>
      <c r="O79" s="152"/>
      <c r="P79" s="166">
        <f t="shared" si="37"/>
        <v>0</v>
      </c>
      <c r="Q79" s="152"/>
      <c r="R79" s="166">
        <f t="shared" si="38"/>
        <v>0</v>
      </c>
      <c r="S79" s="152"/>
      <c r="T79" s="166" t="str">
        <f t="shared" si="39"/>
        <v>NA</v>
      </c>
      <c r="U79" s="142">
        <f t="shared" si="32"/>
        <v>0</v>
      </c>
      <c r="V79" s="151"/>
      <c r="W79" s="167">
        <f t="shared" si="40"/>
        <v>0</v>
      </c>
      <c r="X79" s="151"/>
      <c r="Y79" s="167">
        <f t="shared" si="41"/>
        <v>0</v>
      </c>
      <c r="Z79" s="151"/>
      <c r="AA79" s="167">
        <f t="shared" si="42"/>
        <v>0</v>
      </c>
      <c r="AB79" s="151"/>
      <c r="AC79" s="167" t="str">
        <f t="shared" si="43"/>
        <v>NA</v>
      </c>
      <c r="AD79" s="143">
        <f t="shared" si="44"/>
        <v>0</v>
      </c>
      <c r="AE79" s="134"/>
      <c r="AF79" s="135">
        <f t="shared" si="45"/>
        <v>0</v>
      </c>
      <c r="AG79" s="134"/>
      <c r="AH79" s="135" t="str">
        <f t="shared" si="46"/>
        <v>NA</v>
      </c>
      <c r="AI79" s="134"/>
      <c r="AJ79" s="135" t="str">
        <f t="shared" si="47"/>
        <v>NA</v>
      </c>
      <c r="AK79" s="133">
        <f t="shared" si="48"/>
        <v>0</v>
      </c>
      <c r="AL79" s="133"/>
      <c r="AM79" s="182" t="str">
        <f t="shared" si="49"/>
        <v>NA</v>
      </c>
      <c r="AN79" s="133"/>
      <c r="AO79" s="182" t="str">
        <f t="shared" si="50"/>
        <v>NA</v>
      </c>
      <c r="AP79" s="133"/>
      <c r="AQ79" s="182" t="str">
        <f t="shared" si="51"/>
        <v>NA</v>
      </c>
      <c r="AR79" s="133">
        <f t="shared" si="52"/>
        <v>0</v>
      </c>
      <c r="AS79" s="134"/>
      <c r="AT79" s="135">
        <f t="shared" si="53"/>
        <v>0</v>
      </c>
      <c r="AU79" s="134"/>
      <c r="AV79" s="135" t="str">
        <f t="shared" si="54"/>
        <v>NA</v>
      </c>
      <c r="AW79" s="134"/>
      <c r="AX79" s="135" t="str">
        <f t="shared" si="55"/>
        <v>NA</v>
      </c>
      <c r="AY79" s="133">
        <f t="shared" si="56"/>
        <v>0</v>
      </c>
      <c r="AZ79" s="168">
        <f t="shared" si="57"/>
        <v>0</v>
      </c>
      <c r="BA79" s="173">
        <f t="shared" si="58"/>
        <v>0</v>
      </c>
    </row>
    <row r="80" spans="1:53" ht="20.100000000000001" hidden="1" customHeight="1" x14ac:dyDescent="0.25">
      <c r="A80" s="151">
        <f>IF((A79+1)&lt;=Outline!$E$12,A79+1,0)</f>
        <v>29</v>
      </c>
      <c r="B80" s="117"/>
      <c r="C80" s="118"/>
      <c r="D80" s="170"/>
      <c r="E80" s="165">
        <f t="shared" si="31"/>
        <v>0</v>
      </c>
      <c r="F80" s="151"/>
      <c r="G80" s="165">
        <f t="shared" si="33"/>
        <v>0</v>
      </c>
      <c r="H80" s="151"/>
      <c r="I80" s="165">
        <f t="shared" si="34"/>
        <v>0</v>
      </c>
      <c r="J80" s="151"/>
      <c r="K80" s="165" t="str">
        <f t="shared" si="35"/>
        <v>NA</v>
      </c>
      <c r="L80" s="141">
        <f t="shared" si="30"/>
        <v>0</v>
      </c>
      <c r="M80" s="152"/>
      <c r="N80" s="166">
        <f t="shared" si="36"/>
        <v>0</v>
      </c>
      <c r="O80" s="152"/>
      <c r="P80" s="166">
        <f t="shared" si="37"/>
        <v>0</v>
      </c>
      <c r="Q80" s="152"/>
      <c r="R80" s="166">
        <f t="shared" si="38"/>
        <v>0</v>
      </c>
      <c r="S80" s="152"/>
      <c r="T80" s="166" t="str">
        <f t="shared" si="39"/>
        <v>NA</v>
      </c>
      <c r="U80" s="142">
        <f t="shared" si="32"/>
        <v>0</v>
      </c>
      <c r="V80" s="151"/>
      <c r="W80" s="167">
        <f t="shared" si="40"/>
        <v>0</v>
      </c>
      <c r="X80" s="151"/>
      <c r="Y80" s="167">
        <f t="shared" si="41"/>
        <v>0</v>
      </c>
      <c r="Z80" s="151"/>
      <c r="AA80" s="167">
        <f t="shared" si="42"/>
        <v>0</v>
      </c>
      <c r="AB80" s="151"/>
      <c r="AC80" s="167" t="str">
        <f t="shared" si="43"/>
        <v>NA</v>
      </c>
      <c r="AD80" s="143">
        <f t="shared" si="44"/>
        <v>0</v>
      </c>
      <c r="AE80" s="134"/>
      <c r="AF80" s="135">
        <f t="shared" si="45"/>
        <v>0</v>
      </c>
      <c r="AG80" s="134"/>
      <c r="AH80" s="135" t="str">
        <f t="shared" si="46"/>
        <v>NA</v>
      </c>
      <c r="AI80" s="134"/>
      <c r="AJ80" s="135" t="str">
        <f t="shared" si="47"/>
        <v>NA</v>
      </c>
      <c r="AK80" s="133">
        <f t="shared" si="48"/>
        <v>0</v>
      </c>
      <c r="AL80" s="133"/>
      <c r="AM80" s="182" t="str">
        <f t="shared" si="49"/>
        <v>NA</v>
      </c>
      <c r="AN80" s="133"/>
      <c r="AO80" s="182" t="str">
        <f t="shared" si="50"/>
        <v>NA</v>
      </c>
      <c r="AP80" s="133"/>
      <c r="AQ80" s="182" t="str">
        <f t="shared" si="51"/>
        <v>NA</v>
      </c>
      <c r="AR80" s="133">
        <f t="shared" si="52"/>
        <v>0</v>
      </c>
      <c r="AS80" s="134"/>
      <c r="AT80" s="135">
        <f t="shared" si="53"/>
        <v>0</v>
      </c>
      <c r="AU80" s="134"/>
      <c r="AV80" s="135" t="str">
        <f t="shared" si="54"/>
        <v>NA</v>
      </c>
      <c r="AW80" s="134"/>
      <c r="AX80" s="135" t="str">
        <f t="shared" si="55"/>
        <v>NA</v>
      </c>
      <c r="AY80" s="133">
        <f t="shared" si="56"/>
        <v>0</v>
      </c>
      <c r="AZ80" s="168">
        <f t="shared" si="57"/>
        <v>0</v>
      </c>
      <c r="BA80" s="173">
        <f t="shared" si="58"/>
        <v>0</v>
      </c>
    </row>
    <row r="81" spans="1:53" ht="20.100000000000001" hidden="1" customHeight="1" x14ac:dyDescent="0.25">
      <c r="A81" s="151">
        <f>IF((A80+1)&lt;=Outline!$E$12,A80+1,0)</f>
        <v>30</v>
      </c>
      <c r="B81" s="117"/>
      <c r="C81" s="118"/>
      <c r="D81" s="170"/>
      <c r="E81" s="165">
        <f t="shared" si="31"/>
        <v>0</v>
      </c>
      <c r="F81" s="151"/>
      <c r="G81" s="165">
        <f t="shared" si="33"/>
        <v>0</v>
      </c>
      <c r="H81" s="151"/>
      <c r="I81" s="165">
        <f t="shared" si="34"/>
        <v>0</v>
      </c>
      <c r="J81" s="151"/>
      <c r="K81" s="165" t="str">
        <f t="shared" si="35"/>
        <v>NA</v>
      </c>
      <c r="L81" s="141">
        <f t="shared" si="30"/>
        <v>0</v>
      </c>
      <c r="M81" s="152"/>
      <c r="N81" s="166">
        <f t="shared" si="36"/>
        <v>0</v>
      </c>
      <c r="O81" s="152"/>
      <c r="P81" s="166">
        <f t="shared" si="37"/>
        <v>0</v>
      </c>
      <c r="Q81" s="152"/>
      <c r="R81" s="166">
        <f t="shared" si="38"/>
        <v>0</v>
      </c>
      <c r="S81" s="152"/>
      <c r="T81" s="166" t="str">
        <f t="shared" si="39"/>
        <v>NA</v>
      </c>
      <c r="U81" s="142">
        <f t="shared" si="32"/>
        <v>0</v>
      </c>
      <c r="V81" s="151"/>
      <c r="W81" s="167">
        <f t="shared" si="40"/>
        <v>0</v>
      </c>
      <c r="X81" s="151"/>
      <c r="Y81" s="167">
        <f t="shared" si="41"/>
        <v>0</v>
      </c>
      <c r="Z81" s="151"/>
      <c r="AA81" s="167">
        <f t="shared" si="42"/>
        <v>0</v>
      </c>
      <c r="AB81" s="151"/>
      <c r="AC81" s="167" t="str">
        <f t="shared" si="43"/>
        <v>NA</v>
      </c>
      <c r="AD81" s="143">
        <f t="shared" si="44"/>
        <v>0</v>
      </c>
      <c r="AE81" s="134"/>
      <c r="AF81" s="135">
        <f t="shared" si="45"/>
        <v>0</v>
      </c>
      <c r="AG81" s="134"/>
      <c r="AH81" s="135" t="str">
        <f t="shared" si="46"/>
        <v>NA</v>
      </c>
      <c r="AI81" s="134"/>
      <c r="AJ81" s="135" t="str">
        <f t="shared" si="47"/>
        <v>NA</v>
      </c>
      <c r="AK81" s="133">
        <f t="shared" si="48"/>
        <v>0</v>
      </c>
      <c r="AL81" s="133"/>
      <c r="AM81" s="182" t="str">
        <f t="shared" si="49"/>
        <v>NA</v>
      </c>
      <c r="AN81" s="133"/>
      <c r="AO81" s="182" t="str">
        <f t="shared" si="50"/>
        <v>NA</v>
      </c>
      <c r="AP81" s="133"/>
      <c r="AQ81" s="182" t="str">
        <f t="shared" si="51"/>
        <v>NA</v>
      </c>
      <c r="AR81" s="133">
        <f t="shared" si="52"/>
        <v>0</v>
      </c>
      <c r="AS81" s="134"/>
      <c r="AT81" s="135">
        <f t="shared" si="53"/>
        <v>0</v>
      </c>
      <c r="AU81" s="134"/>
      <c r="AV81" s="135" t="str">
        <f t="shared" si="54"/>
        <v>NA</v>
      </c>
      <c r="AW81" s="134"/>
      <c r="AX81" s="135" t="str">
        <f t="shared" si="55"/>
        <v>NA</v>
      </c>
      <c r="AY81" s="133">
        <f t="shared" si="56"/>
        <v>0</v>
      </c>
      <c r="AZ81" s="168">
        <f t="shared" si="57"/>
        <v>0</v>
      </c>
      <c r="BA81" s="173">
        <f t="shared" si="58"/>
        <v>0</v>
      </c>
    </row>
    <row r="82" spans="1:53" ht="20.100000000000001" hidden="1" customHeight="1" x14ac:dyDescent="0.25">
      <c r="A82" s="151">
        <f>IF((A81+1)&lt;=Outline!$E$12,A81+1,0)</f>
        <v>31</v>
      </c>
      <c r="B82" s="117"/>
      <c r="C82" s="118"/>
      <c r="D82" s="170"/>
      <c r="E82" s="165">
        <f t="shared" si="31"/>
        <v>0</v>
      </c>
      <c r="F82" s="151"/>
      <c r="G82" s="165">
        <f t="shared" si="33"/>
        <v>0</v>
      </c>
      <c r="H82" s="151"/>
      <c r="I82" s="165">
        <f t="shared" si="34"/>
        <v>0</v>
      </c>
      <c r="J82" s="151"/>
      <c r="K82" s="165" t="str">
        <f t="shared" si="35"/>
        <v>NA</v>
      </c>
      <c r="L82" s="141">
        <f t="shared" si="30"/>
        <v>0</v>
      </c>
      <c r="M82" s="152"/>
      <c r="N82" s="166">
        <f t="shared" si="36"/>
        <v>0</v>
      </c>
      <c r="O82" s="152"/>
      <c r="P82" s="166">
        <f t="shared" si="37"/>
        <v>0</v>
      </c>
      <c r="Q82" s="152"/>
      <c r="R82" s="166">
        <f t="shared" si="38"/>
        <v>0</v>
      </c>
      <c r="S82" s="152"/>
      <c r="T82" s="166" t="str">
        <f t="shared" si="39"/>
        <v>NA</v>
      </c>
      <c r="U82" s="142">
        <f t="shared" si="32"/>
        <v>0</v>
      </c>
      <c r="V82" s="151"/>
      <c r="W82" s="167">
        <f t="shared" si="40"/>
        <v>0</v>
      </c>
      <c r="X82" s="151"/>
      <c r="Y82" s="167">
        <f t="shared" si="41"/>
        <v>0</v>
      </c>
      <c r="Z82" s="151"/>
      <c r="AA82" s="167">
        <f t="shared" si="42"/>
        <v>0</v>
      </c>
      <c r="AB82" s="151"/>
      <c r="AC82" s="167" t="str">
        <f t="shared" si="43"/>
        <v>NA</v>
      </c>
      <c r="AD82" s="143">
        <f t="shared" si="44"/>
        <v>0</v>
      </c>
      <c r="AE82" s="134"/>
      <c r="AF82" s="135">
        <f t="shared" si="45"/>
        <v>0</v>
      </c>
      <c r="AG82" s="134"/>
      <c r="AH82" s="135" t="str">
        <f t="shared" si="46"/>
        <v>NA</v>
      </c>
      <c r="AI82" s="134"/>
      <c r="AJ82" s="135" t="str">
        <f t="shared" si="47"/>
        <v>NA</v>
      </c>
      <c r="AK82" s="133">
        <f t="shared" si="48"/>
        <v>0</v>
      </c>
      <c r="AL82" s="133"/>
      <c r="AM82" s="182" t="str">
        <f t="shared" si="49"/>
        <v>NA</v>
      </c>
      <c r="AN82" s="133"/>
      <c r="AO82" s="182" t="str">
        <f t="shared" si="50"/>
        <v>NA</v>
      </c>
      <c r="AP82" s="133"/>
      <c r="AQ82" s="182" t="str">
        <f t="shared" si="51"/>
        <v>NA</v>
      </c>
      <c r="AR82" s="133">
        <f t="shared" si="52"/>
        <v>0</v>
      </c>
      <c r="AS82" s="134"/>
      <c r="AT82" s="135">
        <f t="shared" si="53"/>
        <v>0</v>
      </c>
      <c r="AU82" s="134"/>
      <c r="AV82" s="135" t="str">
        <f t="shared" si="54"/>
        <v>NA</v>
      </c>
      <c r="AW82" s="134"/>
      <c r="AX82" s="135" t="str">
        <f t="shared" si="55"/>
        <v>NA</v>
      </c>
      <c r="AY82" s="133">
        <f t="shared" si="56"/>
        <v>0</v>
      </c>
      <c r="AZ82" s="168">
        <f t="shared" si="57"/>
        <v>0</v>
      </c>
      <c r="BA82" s="173">
        <f t="shared" si="58"/>
        <v>0</v>
      </c>
    </row>
    <row r="83" spans="1:53" ht="20.100000000000001" hidden="1" customHeight="1" x14ac:dyDescent="0.25">
      <c r="A83" s="151">
        <f>IF((A82+1)&lt;=Outline!$E$12,A82+1,0)</f>
        <v>32</v>
      </c>
      <c r="B83" s="117"/>
      <c r="C83" s="118"/>
      <c r="D83" s="170"/>
      <c r="E83" s="165">
        <f t="shared" si="31"/>
        <v>0</v>
      </c>
      <c r="F83" s="151"/>
      <c r="G83" s="165">
        <f t="shared" si="33"/>
        <v>0</v>
      </c>
      <c r="H83" s="151"/>
      <c r="I83" s="165">
        <f t="shared" si="34"/>
        <v>0</v>
      </c>
      <c r="J83" s="151"/>
      <c r="K83" s="165" t="str">
        <f t="shared" si="35"/>
        <v>NA</v>
      </c>
      <c r="L83" s="141">
        <f t="shared" si="30"/>
        <v>0</v>
      </c>
      <c r="M83" s="152"/>
      <c r="N83" s="166">
        <f t="shared" si="36"/>
        <v>0</v>
      </c>
      <c r="O83" s="152"/>
      <c r="P83" s="166">
        <f t="shared" si="37"/>
        <v>0</v>
      </c>
      <c r="Q83" s="152"/>
      <c r="R83" s="166">
        <f t="shared" si="38"/>
        <v>0</v>
      </c>
      <c r="S83" s="152"/>
      <c r="T83" s="166" t="str">
        <f t="shared" si="39"/>
        <v>NA</v>
      </c>
      <c r="U83" s="142">
        <f t="shared" si="32"/>
        <v>0</v>
      </c>
      <c r="V83" s="151"/>
      <c r="W83" s="167">
        <f t="shared" si="40"/>
        <v>0</v>
      </c>
      <c r="X83" s="151"/>
      <c r="Y83" s="167">
        <f t="shared" si="41"/>
        <v>0</v>
      </c>
      <c r="Z83" s="151"/>
      <c r="AA83" s="167">
        <f t="shared" si="42"/>
        <v>0</v>
      </c>
      <c r="AB83" s="151"/>
      <c r="AC83" s="167" t="str">
        <f t="shared" si="43"/>
        <v>NA</v>
      </c>
      <c r="AD83" s="143">
        <f t="shared" si="44"/>
        <v>0</v>
      </c>
      <c r="AE83" s="134"/>
      <c r="AF83" s="135">
        <f t="shared" si="45"/>
        <v>0</v>
      </c>
      <c r="AG83" s="134"/>
      <c r="AH83" s="135" t="str">
        <f t="shared" si="46"/>
        <v>NA</v>
      </c>
      <c r="AI83" s="134"/>
      <c r="AJ83" s="135" t="str">
        <f t="shared" si="47"/>
        <v>NA</v>
      </c>
      <c r="AK83" s="133">
        <f t="shared" si="48"/>
        <v>0</v>
      </c>
      <c r="AL83" s="133"/>
      <c r="AM83" s="182" t="str">
        <f t="shared" si="49"/>
        <v>NA</v>
      </c>
      <c r="AN83" s="133"/>
      <c r="AO83" s="182" t="str">
        <f t="shared" si="50"/>
        <v>NA</v>
      </c>
      <c r="AP83" s="133"/>
      <c r="AQ83" s="182" t="str">
        <f t="shared" si="51"/>
        <v>NA</v>
      </c>
      <c r="AR83" s="133">
        <f t="shared" si="52"/>
        <v>0</v>
      </c>
      <c r="AS83" s="134"/>
      <c r="AT83" s="135">
        <f t="shared" si="53"/>
        <v>0</v>
      </c>
      <c r="AU83" s="134"/>
      <c r="AV83" s="135" t="str">
        <f t="shared" si="54"/>
        <v>NA</v>
      </c>
      <c r="AW83" s="134"/>
      <c r="AX83" s="135" t="str">
        <f t="shared" si="55"/>
        <v>NA</v>
      </c>
      <c r="AY83" s="133">
        <f t="shared" si="56"/>
        <v>0</v>
      </c>
      <c r="AZ83" s="168">
        <f t="shared" si="57"/>
        <v>0</v>
      </c>
      <c r="BA83" s="173">
        <f t="shared" si="58"/>
        <v>0</v>
      </c>
    </row>
    <row r="84" spans="1:53" ht="20.100000000000001" hidden="1" customHeight="1" x14ac:dyDescent="0.25">
      <c r="A84" s="151">
        <f>IF((A83+1)&lt;=Outline!$E$12,A83+1,0)</f>
        <v>33</v>
      </c>
      <c r="B84" s="117"/>
      <c r="C84" s="118"/>
      <c r="D84" s="170"/>
      <c r="E84" s="165">
        <f t="shared" si="31"/>
        <v>0</v>
      </c>
      <c r="F84" s="151"/>
      <c r="G84" s="165">
        <f t="shared" si="33"/>
        <v>0</v>
      </c>
      <c r="H84" s="151"/>
      <c r="I84" s="165">
        <f t="shared" si="34"/>
        <v>0</v>
      </c>
      <c r="J84" s="151"/>
      <c r="K84" s="165" t="str">
        <f t="shared" si="35"/>
        <v>NA</v>
      </c>
      <c r="L84" s="141">
        <f t="shared" si="30"/>
        <v>0</v>
      </c>
      <c r="M84" s="152"/>
      <c r="N84" s="166">
        <f t="shared" si="36"/>
        <v>0</v>
      </c>
      <c r="O84" s="152"/>
      <c r="P84" s="166">
        <f t="shared" si="37"/>
        <v>0</v>
      </c>
      <c r="Q84" s="152"/>
      <c r="R84" s="166">
        <f t="shared" si="38"/>
        <v>0</v>
      </c>
      <c r="S84" s="152"/>
      <c r="T84" s="166" t="str">
        <f t="shared" si="39"/>
        <v>NA</v>
      </c>
      <c r="U84" s="142">
        <f t="shared" si="32"/>
        <v>0</v>
      </c>
      <c r="V84" s="151"/>
      <c r="W84" s="167">
        <f t="shared" si="40"/>
        <v>0</v>
      </c>
      <c r="X84" s="151"/>
      <c r="Y84" s="167">
        <f t="shared" si="41"/>
        <v>0</v>
      </c>
      <c r="Z84" s="151"/>
      <c r="AA84" s="167">
        <f t="shared" si="42"/>
        <v>0</v>
      </c>
      <c r="AB84" s="151"/>
      <c r="AC84" s="167" t="str">
        <f t="shared" si="43"/>
        <v>NA</v>
      </c>
      <c r="AD84" s="143">
        <f t="shared" si="44"/>
        <v>0</v>
      </c>
      <c r="AE84" s="134"/>
      <c r="AF84" s="135">
        <f t="shared" si="45"/>
        <v>0</v>
      </c>
      <c r="AG84" s="134"/>
      <c r="AH84" s="135" t="str">
        <f t="shared" si="46"/>
        <v>NA</v>
      </c>
      <c r="AI84" s="134"/>
      <c r="AJ84" s="135" t="str">
        <f t="shared" si="47"/>
        <v>NA</v>
      </c>
      <c r="AK84" s="133">
        <f t="shared" si="48"/>
        <v>0</v>
      </c>
      <c r="AL84" s="133"/>
      <c r="AM84" s="182" t="str">
        <f t="shared" si="49"/>
        <v>NA</v>
      </c>
      <c r="AN84" s="133"/>
      <c r="AO84" s="182" t="str">
        <f t="shared" si="50"/>
        <v>NA</v>
      </c>
      <c r="AP84" s="133"/>
      <c r="AQ84" s="182" t="str">
        <f t="shared" si="51"/>
        <v>NA</v>
      </c>
      <c r="AR84" s="133">
        <f t="shared" si="52"/>
        <v>0</v>
      </c>
      <c r="AS84" s="134"/>
      <c r="AT84" s="135">
        <f t="shared" si="53"/>
        <v>0</v>
      </c>
      <c r="AU84" s="134"/>
      <c r="AV84" s="135" t="str">
        <f t="shared" si="54"/>
        <v>NA</v>
      </c>
      <c r="AW84" s="134"/>
      <c r="AX84" s="135" t="str">
        <f t="shared" si="55"/>
        <v>NA</v>
      </c>
      <c r="AY84" s="133">
        <f t="shared" si="56"/>
        <v>0</v>
      </c>
      <c r="AZ84" s="168">
        <f t="shared" si="57"/>
        <v>0</v>
      </c>
      <c r="BA84" s="173">
        <f t="shared" si="58"/>
        <v>0</v>
      </c>
    </row>
    <row r="85" spans="1:53" ht="20.100000000000001" hidden="1" customHeight="1" x14ac:dyDescent="0.25">
      <c r="A85" s="151">
        <f>IF((A84+1)&lt;=Outline!$E$12,A84+1,0)</f>
        <v>34</v>
      </c>
      <c r="B85" s="117"/>
      <c r="C85" s="118"/>
      <c r="D85" s="170"/>
      <c r="E85" s="165">
        <f t="shared" si="31"/>
        <v>0</v>
      </c>
      <c r="F85" s="151"/>
      <c r="G85" s="165">
        <f t="shared" si="33"/>
        <v>0</v>
      </c>
      <c r="H85" s="151"/>
      <c r="I85" s="165">
        <f t="shared" si="34"/>
        <v>0</v>
      </c>
      <c r="J85" s="151"/>
      <c r="K85" s="165" t="str">
        <f t="shared" si="35"/>
        <v>NA</v>
      </c>
      <c r="L85" s="141">
        <f t="shared" si="30"/>
        <v>0</v>
      </c>
      <c r="M85" s="152"/>
      <c r="N85" s="166">
        <f t="shared" si="36"/>
        <v>0</v>
      </c>
      <c r="O85" s="152"/>
      <c r="P85" s="166">
        <f t="shared" si="37"/>
        <v>0</v>
      </c>
      <c r="Q85" s="152"/>
      <c r="R85" s="166">
        <f t="shared" si="38"/>
        <v>0</v>
      </c>
      <c r="S85" s="152"/>
      <c r="T85" s="166" t="str">
        <f t="shared" si="39"/>
        <v>NA</v>
      </c>
      <c r="U85" s="142">
        <f t="shared" si="32"/>
        <v>0</v>
      </c>
      <c r="V85" s="151"/>
      <c r="W85" s="167">
        <f t="shared" si="40"/>
        <v>0</v>
      </c>
      <c r="X85" s="151"/>
      <c r="Y85" s="167">
        <f t="shared" si="41"/>
        <v>0</v>
      </c>
      <c r="Z85" s="151"/>
      <c r="AA85" s="167">
        <f t="shared" si="42"/>
        <v>0</v>
      </c>
      <c r="AB85" s="151"/>
      <c r="AC85" s="167" t="str">
        <f t="shared" si="43"/>
        <v>NA</v>
      </c>
      <c r="AD85" s="143">
        <f t="shared" si="44"/>
        <v>0</v>
      </c>
      <c r="AE85" s="134"/>
      <c r="AF85" s="135">
        <f t="shared" si="45"/>
        <v>0</v>
      </c>
      <c r="AG85" s="134"/>
      <c r="AH85" s="135" t="str">
        <f t="shared" si="46"/>
        <v>NA</v>
      </c>
      <c r="AI85" s="134"/>
      <c r="AJ85" s="135" t="str">
        <f t="shared" si="47"/>
        <v>NA</v>
      </c>
      <c r="AK85" s="133">
        <f t="shared" si="48"/>
        <v>0</v>
      </c>
      <c r="AL85" s="133"/>
      <c r="AM85" s="182" t="str">
        <f t="shared" si="49"/>
        <v>NA</v>
      </c>
      <c r="AN85" s="133"/>
      <c r="AO85" s="182" t="str">
        <f t="shared" si="50"/>
        <v>NA</v>
      </c>
      <c r="AP85" s="133"/>
      <c r="AQ85" s="182" t="str">
        <f t="shared" si="51"/>
        <v>NA</v>
      </c>
      <c r="AR85" s="133">
        <f t="shared" si="52"/>
        <v>0</v>
      </c>
      <c r="AS85" s="134"/>
      <c r="AT85" s="135">
        <f t="shared" si="53"/>
        <v>0</v>
      </c>
      <c r="AU85" s="134"/>
      <c r="AV85" s="135" t="str">
        <f t="shared" si="54"/>
        <v>NA</v>
      </c>
      <c r="AW85" s="134"/>
      <c r="AX85" s="135" t="str">
        <f t="shared" si="55"/>
        <v>NA</v>
      </c>
      <c r="AY85" s="133">
        <f t="shared" si="56"/>
        <v>0</v>
      </c>
      <c r="AZ85" s="168">
        <f t="shared" si="57"/>
        <v>0</v>
      </c>
      <c r="BA85" s="173">
        <f t="shared" si="58"/>
        <v>0</v>
      </c>
    </row>
    <row r="86" spans="1:53" ht="20.100000000000001" hidden="1" customHeight="1" x14ac:dyDescent="0.25">
      <c r="A86" s="151">
        <f>IF((A85+1)&lt;=Outline!$E$12,A85+1,0)</f>
        <v>35</v>
      </c>
      <c r="B86" s="117"/>
      <c r="C86" s="118"/>
      <c r="D86" s="170"/>
      <c r="E86" s="165">
        <f t="shared" si="31"/>
        <v>0</v>
      </c>
      <c r="F86" s="151"/>
      <c r="G86" s="165">
        <f t="shared" si="33"/>
        <v>0</v>
      </c>
      <c r="H86" s="151"/>
      <c r="I86" s="165">
        <f t="shared" si="34"/>
        <v>0</v>
      </c>
      <c r="J86" s="151"/>
      <c r="K86" s="165" t="str">
        <f t="shared" si="35"/>
        <v>NA</v>
      </c>
      <c r="L86" s="141">
        <f t="shared" si="30"/>
        <v>0</v>
      </c>
      <c r="M86" s="152"/>
      <c r="N86" s="166">
        <f t="shared" si="36"/>
        <v>0</v>
      </c>
      <c r="O86" s="152"/>
      <c r="P86" s="166">
        <f t="shared" si="37"/>
        <v>0</v>
      </c>
      <c r="Q86" s="152"/>
      <c r="R86" s="166">
        <f t="shared" si="38"/>
        <v>0</v>
      </c>
      <c r="S86" s="152"/>
      <c r="T86" s="166" t="str">
        <f t="shared" si="39"/>
        <v>NA</v>
      </c>
      <c r="U86" s="142">
        <f t="shared" si="32"/>
        <v>0</v>
      </c>
      <c r="V86" s="151"/>
      <c r="W86" s="167">
        <f t="shared" si="40"/>
        <v>0</v>
      </c>
      <c r="X86" s="151"/>
      <c r="Y86" s="167">
        <f t="shared" si="41"/>
        <v>0</v>
      </c>
      <c r="Z86" s="151"/>
      <c r="AA86" s="167">
        <f t="shared" si="42"/>
        <v>0</v>
      </c>
      <c r="AB86" s="151"/>
      <c r="AC86" s="167" t="str">
        <f t="shared" si="43"/>
        <v>NA</v>
      </c>
      <c r="AD86" s="143">
        <f t="shared" si="44"/>
        <v>0</v>
      </c>
      <c r="AE86" s="134"/>
      <c r="AF86" s="135">
        <f t="shared" si="45"/>
        <v>0</v>
      </c>
      <c r="AG86" s="134"/>
      <c r="AH86" s="135" t="str">
        <f t="shared" si="46"/>
        <v>NA</v>
      </c>
      <c r="AI86" s="134"/>
      <c r="AJ86" s="135" t="str">
        <f t="shared" si="47"/>
        <v>NA</v>
      </c>
      <c r="AK86" s="133">
        <f t="shared" si="48"/>
        <v>0</v>
      </c>
      <c r="AL86" s="133"/>
      <c r="AM86" s="182" t="str">
        <f t="shared" si="49"/>
        <v>NA</v>
      </c>
      <c r="AN86" s="133"/>
      <c r="AO86" s="182" t="str">
        <f t="shared" si="50"/>
        <v>NA</v>
      </c>
      <c r="AP86" s="133"/>
      <c r="AQ86" s="182" t="str">
        <f t="shared" si="51"/>
        <v>NA</v>
      </c>
      <c r="AR86" s="133">
        <f t="shared" si="52"/>
        <v>0</v>
      </c>
      <c r="AS86" s="134"/>
      <c r="AT86" s="135">
        <f t="shared" si="53"/>
        <v>0</v>
      </c>
      <c r="AU86" s="134"/>
      <c r="AV86" s="135" t="str">
        <f t="shared" si="54"/>
        <v>NA</v>
      </c>
      <c r="AW86" s="134"/>
      <c r="AX86" s="135" t="str">
        <f t="shared" si="55"/>
        <v>NA</v>
      </c>
      <c r="AY86" s="133">
        <f t="shared" si="56"/>
        <v>0</v>
      </c>
      <c r="AZ86" s="168">
        <f t="shared" si="57"/>
        <v>0</v>
      </c>
      <c r="BA86" s="173">
        <f t="shared" si="58"/>
        <v>0</v>
      </c>
    </row>
    <row r="87" spans="1:53" ht="20.100000000000001" hidden="1" customHeight="1" x14ac:dyDescent="0.25">
      <c r="A87" s="151">
        <f>IF((A86+1)&lt;=Outline!$E$12,A86+1,0)</f>
        <v>36</v>
      </c>
      <c r="B87" s="117"/>
      <c r="C87" s="118"/>
      <c r="D87" s="170"/>
      <c r="E87" s="165">
        <f t="shared" si="31"/>
        <v>0</v>
      </c>
      <c r="F87" s="151"/>
      <c r="G87" s="165">
        <f t="shared" si="33"/>
        <v>0</v>
      </c>
      <c r="H87" s="151"/>
      <c r="I87" s="165">
        <f t="shared" si="34"/>
        <v>0</v>
      </c>
      <c r="J87" s="151"/>
      <c r="K87" s="165" t="str">
        <f t="shared" si="35"/>
        <v>NA</v>
      </c>
      <c r="L87" s="141">
        <f t="shared" si="30"/>
        <v>0</v>
      </c>
      <c r="M87" s="152"/>
      <c r="N87" s="166">
        <f t="shared" si="36"/>
        <v>0</v>
      </c>
      <c r="O87" s="152"/>
      <c r="P87" s="166">
        <f t="shared" si="37"/>
        <v>0</v>
      </c>
      <c r="Q87" s="152"/>
      <c r="R87" s="166">
        <f t="shared" si="38"/>
        <v>0</v>
      </c>
      <c r="S87" s="152"/>
      <c r="T87" s="166" t="str">
        <f t="shared" si="39"/>
        <v>NA</v>
      </c>
      <c r="U87" s="142">
        <f t="shared" si="32"/>
        <v>0</v>
      </c>
      <c r="V87" s="151"/>
      <c r="W87" s="167">
        <f t="shared" si="40"/>
        <v>0</v>
      </c>
      <c r="X87" s="151"/>
      <c r="Y87" s="167">
        <f t="shared" si="41"/>
        <v>0</v>
      </c>
      <c r="Z87" s="151"/>
      <c r="AA87" s="167">
        <f t="shared" si="42"/>
        <v>0</v>
      </c>
      <c r="AB87" s="151"/>
      <c r="AC87" s="167" t="str">
        <f t="shared" si="43"/>
        <v>NA</v>
      </c>
      <c r="AD87" s="143">
        <f t="shared" si="44"/>
        <v>0</v>
      </c>
      <c r="AE87" s="134"/>
      <c r="AF87" s="135">
        <f t="shared" si="45"/>
        <v>0</v>
      </c>
      <c r="AG87" s="134"/>
      <c r="AH87" s="135" t="str">
        <f t="shared" si="46"/>
        <v>NA</v>
      </c>
      <c r="AI87" s="134"/>
      <c r="AJ87" s="135" t="str">
        <f t="shared" si="47"/>
        <v>NA</v>
      </c>
      <c r="AK87" s="133">
        <f t="shared" si="48"/>
        <v>0</v>
      </c>
      <c r="AL87" s="133"/>
      <c r="AM87" s="182" t="str">
        <f t="shared" si="49"/>
        <v>NA</v>
      </c>
      <c r="AN87" s="133"/>
      <c r="AO87" s="182" t="str">
        <f t="shared" si="50"/>
        <v>NA</v>
      </c>
      <c r="AP87" s="133"/>
      <c r="AQ87" s="182" t="str">
        <f t="shared" si="51"/>
        <v>NA</v>
      </c>
      <c r="AR87" s="133">
        <f t="shared" si="52"/>
        <v>0</v>
      </c>
      <c r="AS87" s="134"/>
      <c r="AT87" s="135">
        <f t="shared" si="53"/>
        <v>0</v>
      </c>
      <c r="AU87" s="134"/>
      <c r="AV87" s="135" t="str">
        <f t="shared" si="54"/>
        <v>NA</v>
      </c>
      <c r="AW87" s="134"/>
      <c r="AX87" s="135" t="str">
        <f t="shared" si="55"/>
        <v>NA</v>
      </c>
      <c r="AY87" s="133">
        <f t="shared" si="56"/>
        <v>0</v>
      </c>
      <c r="AZ87" s="168">
        <f t="shared" si="57"/>
        <v>0</v>
      </c>
      <c r="BA87" s="173">
        <f t="shared" si="58"/>
        <v>0</v>
      </c>
    </row>
    <row r="88" spans="1:53" ht="20.100000000000001" hidden="1" customHeight="1" x14ac:dyDescent="0.25">
      <c r="A88" s="151">
        <f>IF((A87+1)&lt;=Outline!$E$12,A87+1,0)</f>
        <v>37</v>
      </c>
      <c r="B88" s="117"/>
      <c r="C88" s="118"/>
      <c r="D88" s="170"/>
      <c r="E88" s="165">
        <f t="shared" si="31"/>
        <v>0</v>
      </c>
      <c r="F88" s="151"/>
      <c r="G88" s="165">
        <f t="shared" si="33"/>
        <v>0</v>
      </c>
      <c r="H88" s="151"/>
      <c r="I88" s="165">
        <f t="shared" si="34"/>
        <v>0</v>
      </c>
      <c r="J88" s="151"/>
      <c r="K88" s="165" t="str">
        <f t="shared" si="35"/>
        <v>NA</v>
      </c>
      <c r="L88" s="141">
        <f t="shared" si="30"/>
        <v>0</v>
      </c>
      <c r="M88" s="152"/>
      <c r="N88" s="166">
        <f t="shared" si="36"/>
        <v>0</v>
      </c>
      <c r="O88" s="152"/>
      <c r="P88" s="166">
        <f t="shared" si="37"/>
        <v>0</v>
      </c>
      <c r="Q88" s="152"/>
      <c r="R88" s="166">
        <f t="shared" si="38"/>
        <v>0</v>
      </c>
      <c r="S88" s="152"/>
      <c r="T88" s="166" t="str">
        <f t="shared" si="39"/>
        <v>NA</v>
      </c>
      <c r="U88" s="142">
        <f t="shared" si="32"/>
        <v>0</v>
      </c>
      <c r="V88" s="151"/>
      <c r="W88" s="167">
        <f t="shared" si="40"/>
        <v>0</v>
      </c>
      <c r="X88" s="151"/>
      <c r="Y88" s="167">
        <f t="shared" si="41"/>
        <v>0</v>
      </c>
      <c r="Z88" s="151"/>
      <c r="AA88" s="167">
        <f t="shared" si="42"/>
        <v>0</v>
      </c>
      <c r="AB88" s="151"/>
      <c r="AC88" s="167" t="str">
        <f t="shared" si="43"/>
        <v>NA</v>
      </c>
      <c r="AD88" s="143">
        <f t="shared" si="44"/>
        <v>0</v>
      </c>
      <c r="AE88" s="134"/>
      <c r="AF88" s="135">
        <f t="shared" si="45"/>
        <v>0</v>
      </c>
      <c r="AG88" s="134"/>
      <c r="AH88" s="135" t="str">
        <f t="shared" si="46"/>
        <v>NA</v>
      </c>
      <c r="AI88" s="134"/>
      <c r="AJ88" s="135" t="str">
        <f t="shared" si="47"/>
        <v>NA</v>
      </c>
      <c r="AK88" s="133">
        <f t="shared" si="48"/>
        <v>0</v>
      </c>
      <c r="AL88" s="133"/>
      <c r="AM88" s="182" t="str">
        <f t="shared" si="49"/>
        <v>NA</v>
      </c>
      <c r="AN88" s="133"/>
      <c r="AO88" s="182" t="str">
        <f t="shared" si="50"/>
        <v>NA</v>
      </c>
      <c r="AP88" s="133"/>
      <c r="AQ88" s="182" t="str">
        <f t="shared" si="51"/>
        <v>NA</v>
      </c>
      <c r="AR88" s="133">
        <f t="shared" si="52"/>
        <v>0</v>
      </c>
      <c r="AS88" s="134"/>
      <c r="AT88" s="135">
        <f t="shared" si="53"/>
        <v>0</v>
      </c>
      <c r="AU88" s="134"/>
      <c r="AV88" s="135" t="str">
        <f t="shared" si="54"/>
        <v>NA</v>
      </c>
      <c r="AW88" s="134"/>
      <c r="AX88" s="135" t="str">
        <f t="shared" si="55"/>
        <v>NA</v>
      </c>
      <c r="AY88" s="133">
        <f t="shared" si="56"/>
        <v>0</v>
      </c>
      <c r="AZ88" s="168">
        <f t="shared" si="57"/>
        <v>0</v>
      </c>
      <c r="BA88" s="173">
        <f t="shared" si="58"/>
        <v>0</v>
      </c>
    </row>
    <row r="89" spans="1:53" ht="20.100000000000001" hidden="1" customHeight="1" x14ac:dyDescent="0.25">
      <c r="A89" s="151">
        <f>IF((A88+1)&lt;=Outline!$E$12,A88+1,0)</f>
        <v>38</v>
      </c>
      <c r="B89" s="117"/>
      <c r="C89" s="118"/>
      <c r="D89" s="170"/>
      <c r="E89" s="165">
        <f t="shared" si="31"/>
        <v>0</v>
      </c>
      <c r="F89" s="151"/>
      <c r="G89" s="165">
        <f t="shared" si="33"/>
        <v>0</v>
      </c>
      <c r="H89" s="151"/>
      <c r="I89" s="165">
        <f t="shared" si="34"/>
        <v>0</v>
      </c>
      <c r="J89" s="151"/>
      <c r="K89" s="165" t="str">
        <f t="shared" si="35"/>
        <v>NA</v>
      </c>
      <c r="L89" s="141">
        <f t="shared" si="30"/>
        <v>0</v>
      </c>
      <c r="M89" s="152"/>
      <c r="N89" s="166">
        <f t="shared" si="36"/>
        <v>0</v>
      </c>
      <c r="O89" s="152"/>
      <c r="P89" s="166">
        <f t="shared" si="37"/>
        <v>0</v>
      </c>
      <c r="Q89" s="152"/>
      <c r="R89" s="166">
        <f t="shared" si="38"/>
        <v>0</v>
      </c>
      <c r="S89" s="152"/>
      <c r="T89" s="166" t="str">
        <f t="shared" si="39"/>
        <v>NA</v>
      </c>
      <c r="U89" s="142">
        <f t="shared" si="32"/>
        <v>0</v>
      </c>
      <c r="V89" s="151"/>
      <c r="W89" s="167">
        <f t="shared" si="40"/>
        <v>0</v>
      </c>
      <c r="X89" s="151"/>
      <c r="Y89" s="167">
        <f t="shared" si="41"/>
        <v>0</v>
      </c>
      <c r="Z89" s="151"/>
      <c r="AA89" s="167">
        <f t="shared" si="42"/>
        <v>0</v>
      </c>
      <c r="AB89" s="151"/>
      <c r="AC89" s="167" t="str">
        <f t="shared" si="43"/>
        <v>NA</v>
      </c>
      <c r="AD89" s="143">
        <f t="shared" si="44"/>
        <v>0</v>
      </c>
      <c r="AE89" s="134"/>
      <c r="AF89" s="135">
        <f t="shared" si="45"/>
        <v>0</v>
      </c>
      <c r="AG89" s="134"/>
      <c r="AH89" s="135" t="str">
        <f t="shared" si="46"/>
        <v>NA</v>
      </c>
      <c r="AI89" s="134"/>
      <c r="AJ89" s="135" t="str">
        <f t="shared" si="47"/>
        <v>NA</v>
      </c>
      <c r="AK89" s="133">
        <f t="shared" si="48"/>
        <v>0</v>
      </c>
      <c r="AL89" s="133"/>
      <c r="AM89" s="182" t="str">
        <f t="shared" si="49"/>
        <v>NA</v>
      </c>
      <c r="AN89" s="133"/>
      <c r="AO89" s="182" t="str">
        <f t="shared" si="50"/>
        <v>NA</v>
      </c>
      <c r="AP89" s="133"/>
      <c r="AQ89" s="182" t="str">
        <f t="shared" si="51"/>
        <v>NA</v>
      </c>
      <c r="AR89" s="133">
        <f t="shared" si="52"/>
        <v>0</v>
      </c>
      <c r="AS89" s="134"/>
      <c r="AT89" s="135">
        <f t="shared" si="53"/>
        <v>0</v>
      </c>
      <c r="AU89" s="134"/>
      <c r="AV89" s="135" t="str">
        <f t="shared" si="54"/>
        <v>NA</v>
      </c>
      <c r="AW89" s="134"/>
      <c r="AX89" s="135" t="str">
        <f t="shared" si="55"/>
        <v>NA</v>
      </c>
      <c r="AY89" s="133">
        <f t="shared" si="56"/>
        <v>0</v>
      </c>
      <c r="AZ89" s="168">
        <f t="shared" si="57"/>
        <v>0</v>
      </c>
      <c r="BA89" s="173">
        <f t="shared" si="58"/>
        <v>0</v>
      </c>
    </row>
    <row r="90" spans="1:53" ht="20.100000000000001" hidden="1" customHeight="1" x14ac:dyDescent="0.25">
      <c r="A90" s="151">
        <f>IF((A89+1)&lt;=Outline!$E$12,A89+1,0)</f>
        <v>39</v>
      </c>
      <c r="B90" s="117"/>
      <c r="C90" s="118"/>
      <c r="D90" s="170"/>
      <c r="E90" s="165">
        <f t="shared" si="31"/>
        <v>0</v>
      </c>
      <c r="F90" s="151"/>
      <c r="G90" s="165">
        <f t="shared" si="33"/>
        <v>0</v>
      </c>
      <c r="H90" s="151"/>
      <c r="I90" s="165">
        <f t="shared" si="34"/>
        <v>0</v>
      </c>
      <c r="J90" s="151"/>
      <c r="K90" s="165" t="str">
        <f t="shared" si="35"/>
        <v>NA</v>
      </c>
      <c r="L90" s="141">
        <f t="shared" si="30"/>
        <v>0</v>
      </c>
      <c r="M90" s="152"/>
      <c r="N90" s="166">
        <f t="shared" si="36"/>
        <v>0</v>
      </c>
      <c r="O90" s="152"/>
      <c r="P90" s="166">
        <f t="shared" si="37"/>
        <v>0</v>
      </c>
      <c r="Q90" s="152"/>
      <c r="R90" s="166">
        <f t="shared" si="38"/>
        <v>0</v>
      </c>
      <c r="S90" s="152"/>
      <c r="T90" s="166" t="str">
        <f t="shared" si="39"/>
        <v>NA</v>
      </c>
      <c r="U90" s="142">
        <f t="shared" si="32"/>
        <v>0</v>
      </c>
      <c r="V90" s="151"/>
      <c r="W90" s="167">
        <f t="shared" si="40"/>
        <v>0</v>
      </c>
      <c r="X90" s="151"/>
      <c r="Y90" s="167">
        <f t="shared" si="41"/>
        <v>0</v>
      </c>
      <c r="Z90" s="151"/>
      <c r="AA90" s="167">
        <f t="shared" si="42"/>
        <v>0</v>
      </c>
      <c r="AB90" s="151"/>
      <c r="AC90" s="167" t="str">
        <f t="shared" si="43"/>
        <v>NA</v>
      </c>
      <c r="AD90" s="143">
        <f t="shared" si="44"/>
        <v>0</v>
      </c>
      <c r="AE90" s="134"/>
      <c r="AF90" s="135">
        <f t="shared" si="45"/>
        <v>0</v>
      </c>
      <c r="AG90" s="134"/>
      <c r="AH90" s="135" t="str">
        <f t="shared" si="46"/>
        <v>NA</v>
      </c>
      <c r="AI90" s="134"/>
      <c r="AJ90" s="135" t="str">
        <f t="shared" si="47"/>
        <v>NA</v>
      </c>
      <c r="AK90" s="133">
        <f t="shared" si="48"/>
        <v>0</v>
      </c>
      <c r="AL90" s="133"/>
      <c r="AM90" s="182" t="str">
        <f t="shared" si="49"/>
        <v>NA</v>
      </c>
      <c r="AN90" s="133"/>
      <c r="AO90" s="182" t="str">
        <f t="shared" si="50"/>
        <v>NA</v>
      </c>
      <c r="AP90" s="133"/>
      <c r="AQ90" s="182" t="str">
        <f t="shared" si="51"/>
        <v>NA</v>
      </c>
      <c r="AR90" s="133">
        <f t="shared" si="52"/>
        <v>0</v>
      </c>
      <c r="AS90" s="134"/>
      <c r="AT90" s="135">
        <f t="shared" si="53"/>
        <v>0</v>
      </c>
      <c r="AU90" s="134"/>
      <c r="AV90" s="135" t="str">
        <f t="shared" si="54"/>
        <v>NA</v>
      </c>
      <c r="AW90" s="134"/>
      <c r="AX90" s="135" t="str">
        <f t="shared" si="55"/>
        <v>NA</v>
      </c>
      <c r="AY90" s="133">
        <f t="shared" si="56"/>
        <v>0</v>
      </c>
      <c r="AZ90" s="168">
        <f t="shared" si="57"/>
        <v>0</v>
      </c>
      <c r="BA90" s="173">
        <f t="shared" si="58"/>
        <v>0</v>
      </c>
    </row>
    <row r="91" spans="1:53" ht="20.100000000000001" hidden="1" customHeight="1" x14ac:dyDescent="0.25">
      <c r="A91" s="151">
        <f>IF((A90+1)&lt;=Outline!$E$12,A90+1,0)</f>
        <v>40</v>
      </c>
      <c r="B91" s="117"/>
      <c r="C91" s="118"/>
      <c r="D91" s="170"/>
      <c r="E91" s="165">
        <f t="shared" si="31"/>
        <v>0</v>
      </c>
      <c r="F91" s="151"/>
      <c r="G91" s="165">
        <f t="shared" si="33"/>
        <v>0</v>
      </c>
      <c r="H91" s="151"/>
      <c r="I91" s="165">
        <f t="shared" si="34"/>
        <v>0</v>
      </c>
      <c r="J91" s="151"/>
      <c r="K91" s="165" t="str">
        <f t="shared" si="35"/>
        <v>NA</v>
      </c>
      <c r="L91" s="141">
        <f t="shared" si="30"/>
        <v>0</v>
      </c>
      <c r="M91" s="152"/>
      <c r="N91" s="166">
        <f t="shared" si="36"/>
        <v>0</v>
      </c>
      <c r="O91" s="152"/>
      <c r="P91" s="166">
        <f t="shared" si="37"/>
        <v>0</v>
      </c>
      <c r="Q91" s="152"/>
      <c r="R91" s="166">
        <f t="shared" si="38"/>
        <v>0</v>
      </c>
      <c r="S91" s="152"/>
      <c r="T91" s="166" t="str">
        <f t="shared" si="39"/>
        <v>NA</v>
      </c>
      <c r="U91" s="142">
        <f t="shared" si="32"/>
        <v>0</v>
      </c>
      <c r="V91" s="151"/>
      <c r="W91" s="167">
        <f t="shared" si="40"/>
        <v>0</v>
      </c>
      <c r="X91" s="151"/>
      <c r="Y91" s="167">
        <f t="shared" si="41"/>
        <v>0</v>
      </c>
      <c r="Z91" s="151"/>
      <c r="AA91" s="167">
        <f t="shared" si="42"/>
        <v>0</v>
      </c>
      <c r="AB91" s="151"/>
      <c r="AC91" s="167" t="str">
        <f t="shared" si="43"/>
        <v>NA</v>
      </c>
      <c r="AD91" s="143">
        <f t="shared" si="44"/>
        <v>0</v>
      </c>
      <c r="AE91" s="134"/>
      <c r="AF91" s="135">
        <f t="shared" si="45"/>
        <v>0</v>
      </c>
      <c r="AG91" s="134"/>
      <c r="AH91" s="135" t="str">
        <f t="shared" si="46"/>
        <v>NA</v>
      </c>
      <c r="AI91" s="134"/>
      <c r="AJ91" s="135" t="str">
        <f t="shared" si="47"/>
        <v>NA</v>
      </c>
      <c r="AK91" s="133">
        <f t="shared" si="48"/>
        <v>0</v>
      </c>
      <c r="AL91" s="133"/>
      <c r="AM91" s="182" t="str">
        <f t="shared" si="49"/>
        <v>NA</v>
      </c>
      <c r="AN91" s="133"/>
      <c r="AO91" s="182" t="str">
        <f t="shared" si="50"/>
        <v>NA</v>
      </c>
      <c r="AP91" s="133"/>
      <c r="AQ91" s="182" t="str">
        <f t="shared" si="51"/>
        <v>NA</v>
      </c>
      <c r="AR91" s="133">
        <f t="shared" si="52"/>
        <v>0</v>
      </c>
      <c r="AS91" s="134"/>
      <c r="AT91" s="135">
        <f t="shared" si="53"/>
        <v>0</v>
      </c>
      <c r="AU91" s="134"/>
      <c r="AV91" s="135" t="str">
        <f t="shared" si="54"/>
        <v>NA</v>
      </c>
      <c r="AW91" s="134"/>
      <c r="AX91" s="135" t="str">
        <f t="shared" si="55"/>
        <v>NA</v>
      </c>
      <c r="AY91" s="133">
        <f t="shared" si="56"/>
        <v>0</v>
      </c>
      <c r="AZ91" s="168">
        <f t="shared" si="57"/>
        <v>0</v>
      </c>
      <c r="BA91" s="173">
        <f t="shared" si="58"/>
        <v>0</v>
      </c>
    </row>
    <row r="92" spans="1:53" ht="20.100000000000001" hidden="1" customHeight="1" x14ac:dyDescent="0.25">
      <c r="A92" s="151">
        <f>IF((A91+1)&lt;=Outline!$E$12,A91+1,0)</f>
        <v>41</v>
      </c>
      <c r="B92" s="117"/>
      <c r="C92" s="118"/>
      <c r="D92" s="170"/>
      <c r="E92" s="165">
        <f t="shared" si="31"/>
        <v>0</v>
      </c>
      <c r="F92" s="151"/>
      <c r="G92" s="165">
        <f t="shared" si="33"/>
        <v>0</v>
      </c>
      <c r="H92" s="151"/>
      <c r="I92" s="165">
        <f t="shared" si="34"/>
        <v>0</v>
      </c>
      <c r="J92" s="151"/>
      <c r="K92" s="165" t="str">
        <f t="shared" si="35"/>
        <v>NA</v>
      </c>
      <c r="L92" s="141">
        <f t="shared" si="30"/>
        <v>0</v>
      </c>
      <c r="M92" s="152"/>
      <c r="N92" s="166">
        <f t="shared" si="36"/>
        <v>0</v>
      </c>
      <c r="O92" s="152"/>
      <c r="P92" s="166">
        <f t="shared" si="37"/>
        <v>0</v>
      </c>
      <c r="Q92" s="152"/>
      <c r="R92" s="166">
        <f t="shared" si="38"/>
        <v>0</v>
      </c>
      <c r="S92" s="152"/>
      <c r="T92" s="166" t="str">
        <f t="shared" si="39"/>
        <v>NA</v>
      </c>
      <c r="U92" s="142">
        <f t="shared" si="32"/>
        <v>0</v>
      </c>
      <c r="V92" s="151"/>
      <c r="W92" s="167">
        <f t="shared" si="40"/>
        <v>0</v>
      </c>
      <c r="X92" s="151"/>
      <c r="Y92" s="167">
        <f t="shared" si="41"/>
        <v>0</v>
      </c>
      <c r="Z92" s="151"/>
      <c r="AA92" s="167">
        <f t="shared" si="42"/>
        <v>0</v>
      </c>
      <c r="AB92" s="151"/>
      <c r="AC92" s="167" t="str">
        <f t="shared" si="43"/>
        <v>NA</v>
      </c>
      <c r="AD92" s="143">
        <f t="shared" si="44"/>
        <v>0</v>
      </c>
      <c r="AE92" s="134"/>
      <c r="AF92" s="135">
        <f t="shared" si="45"/>
        <v>0</v>
      </c>
      <c r="AG92" s="134"/>
      <c r="AH92" s="135" t="str">
        <f t="shared" si="46"/>
        <v>NA</v>
      </c>
      <c r="AI92" s="134"/>
      <c r="AJ92" s="135" t="str">
        <f t="shared" si="47"/>
        <v>NA</v>
      </c>
      <c r="AK92" s="133">
        <f t="shared" si="48"/>
        <v>0</v>
      </c>
      <c r="AL92" s="133"/>
      <c r="AM92" s="182" t="str">
        <f t="shared" si="49"/>
        <v>NA</v>
      </c>
      <c r="AN92" s="133"/>
      <c r="AO92" s="182" t="str">
        <f t="shared" si="50"/>
        <v>NA</v>
      </c>
      <c r="AP92" s="133"/>
      <c r="AQ92" s="182" t="str">
        <f t="shared" si="51"/>
        <v>NA</v>
      </c>
      <c r="AR92" s="133">
        <f t="shared" si="52"/>
        <v>0</v>
      </c>
      <c r="AS92" s="134"/>
      <c r="AT92" s="135">
        <f t="shared" si="53"/>
        <v>0</v>
      </c>
      <c r="AU92" s="134"/>
      <c r="AV92" s="135" t="str">
        <f t="shared" si="54"/>
        <v>NA</v>
      </c>
      <c r="AW92" s="134"/>
      <c r="AX92" s="135" t="str">
        <f t="shared" si="55"/>
        <v>NA</v>
      </c>
      <c r="AY92" s="133">
        <f t="shared" si="56"/>
        <v>0</v>
      </c>
      <c r="AZ92" s="168">
        <f t="shared" si="57"/>
        <v>0</v>
      </c>
      <c r="BA92" s="173">
        <f t="shared" si="58"/>
        <v>0</v>
      </c>
    </row>
    <row r="93" spans="1:53" ht="20.100000000000001" hidden="1" customHeight="1" x14ac:dyDescent="0.25">
      <c r="A93" s="151">
        <f>IF((A92+1)&lt;=Outline!$E$12,A92+1,0)</f>
        <v>42</v>
      </c>
      <c r="B93" s="117"/>
      <c r="C93" s="118"/>
      <c r="D93" s="170"/>
      <c r="E93" s="165">
        <f t="shared" si="31"/>
        <v>0</v>
      </c>
      <c r="F93" s="151"/>
      <c r="G93" s="165">
        <f t="shared" si="33"/>
        <v>0</v>
      </c>
      <c r="H93" s="151"/>
      <c r="I93" s="165">
        <f t="shared" si="34"/>
        <v>0</v>
      </c>
      <c r="J93" s="151"/>
      <c r="K93" s="165" t="str">
        <f t="shared" si="35"/>
        <v>NA</v>
      </c>
      <c r="L93" s="141">
        <f t="shared" si="30"/>
        <v>0</v>
      </c>
      <c r="M93" s="152"/>
      <c r="N93" s="166">
        <f t="shared" si="36"/>
        <v>0</v>
      </c>
      <c r="O93" s="152"/>
      <c r="P93" s="166">
        <f t="shared" si="37"/>
        <v>0</v>
      </c>
      <c r="Q93" s="152"/>
      <c r="R93" s="166">
        <f t="shared" si="38"/>
        <v>0</v>
      </c>
      <c r="S93" s="152"/>
      <c r="T93" s="166" t="str">
        <f t="shared" si="39"/>
        <v>NA</v>
      </c>
      <c r="U93" s="142">
        <f t="shared" si="32"/>
        <v>0</v>
      </c>
      <c r="V93" s="151"/>
      <c r="W93" s="167">
        <f t="shared" si="40"/>
        <v>0</v>
      </c>
      <c r="X93" s="151"/>
      <c r="Y93" s="167">
        <f t="shared" si="41"/>
        <v>0</v>
      </c>
      <c r="Z93" s="151"/>
      <c r="AA93" s="167">
        <f t="shared" si="42"/>
        <v>0</v>
      </c>
      <c r="AB93" s="151"/>
      <c r="AC93" s="167" t="str">
        <f t="shared" si="43"/>
        <v>NA</v>
      </c>
      <c r="AD93" s="143">
        <f t="shared" si="44"/>
        <v>0</v>
      </c>
      <c r="AE93" s="134"/>
      <c r="AF93" s="135">
        <f t="shared" si="45"/>
        <v>0</v>
      </c>
      <c r="AG93" s="134"/>
      <c r="AH93" s="135" t="str">
        <f t="shared" si="46"/>
        <v>NA</v>
      </c>
      <c r="AI93" s="134"/>
      <c r="AJ93" s="135" t="str">
        <f t="shared" si="47"/>
        <v>NA</v>
      </c>
      <c r="AK93" s="133">
        <f t="shared" si="48"/>
        <v>0</v>
      </c>
      <c r="AL93" s="133"/>
      <c r="AM93" s="182" t="str">
        <f t="shared" si="49"/>
        <v>NA</v>
      </c>
      <c r="AN93" s="133"/>
      <c r="AO93" s="182" t="str">
        <f t="shared" si="50"/>
        <v>NA</v>
      </c>
      <c r="AP93" s="133"/>
      <c r="AQ93" s="182" t="str">
        <f t="shared" si="51"/>
        <v>NA</v>
      </c>
      <c r="AR93" s="133">
        <f t="shared" si="52"/>
        <v>0</v>
      </c>
      <c r="AS93" s="134"/>
      <c r="AT93" s="135">
        <f t="shared" si="53"/>
        <v>0</v>
      </c>
      <c r="AU93" s="134"/>
      <c r="AV93" s="135" t="str">
        <f t="shared" si="54"/>
        <v>NA</v>
      </c>
      <c r="AW93" s="134"/>
      <c r="AX93" s="135" t="str">
        <f t="shared" si="55"/>
        <v>NA</v>
      </c>
      <c r="AY93" s="133">
        <f t="shared" si="56"/>
        <v>0</v>
      </c>
      <c r="AZ93" s="168">
        <f t="shared" si="57"/>
        <v>0</v>
      </c>
      <c r="BA93" s="173">
        <f t="shared" si="58"/>
        <v>0</v>
      </c>
    </row>
    <row r="94" spans="1:53" ht="20.100000000000001" hidden="1" customHeight="1" x14ac:dyDescent="0.25">
      <c r="A94" s="151">
        <f>IF((A93+1)&lt;=Outline!$E$12,A93+1,0)</f>
        <v>0</v>
      </c>
      <c r="B94" s="117"/>
      <c r="C94" s="118"/>
      <c r="D94" s="170"/>
      <c r="E94" s="165">
        <f t="shared" si="31"/>
        <v>0</v>
      </c>
      <c r="F94" s="151"/>
      <c r="G94" s="165">
        <f t="shared" si="33"/>
        <v>0</v>
      </c>
      <c r="H94" s="151"/>
      <c r="I94" s="165">
        <f t="shared" si="34"/>
        <v>0</v>
      </c>
      <c r="J94" s="151"/>
      <c r="K94" s="165" t="str">
        <f t="shared" si="35"/>
        <v>NA</v>
      </c>
      <c r="L94" s="141">
        <f t="shared" si="30"/>
        <v>0</v>
      </c>
      <c r="M94" s="152"/>
      <c r="N94" s="166">
        <f t="shared" si="36"/>
        <v>0</v>
      </c>
      <c r="O94" s="152"/>
      <c r="P94" s="166">
        <f t="shared" si="37"/>
        <v>0</v>
      </c>
      <c r="Q94" s="152"/>
      <c r="R94" s="166">
        <f t="shared" si="38"/>
        <v>0</v>
      </c>
      <c r="S94" s="152"/>
      <c r="T94" s="166" t="str">
        <f t="shared" si="39"/>
        <v>NA</v>
      </c>
      <c r="U94" s="142">
        <f t="shared" si="32"/>
        <v>0</v>
      </c>
      <c r="V94" s="151"/>
      <c r="W94" s="167">
        <f t="shared" si="40"/>
        <v>0</v>
      </c>
      <c r="X94" s="151"/>
      <c r="Y94" s="167">
        <f t="shared" si="41"/>
        <v>0</v>
      </c>
      <c r="Z94" s="151"/>
      <c r="AA94" s="167">
        <f t="shared" si="42"/>
        <v>0</v>
      </c>
      <c r="AB94" s="151"/>
      <c r="AC94" s="167" t="str">
        <f t="shared" si="43"/>
        <v>NA</v>
      </c>
      <c r="AD94" s="143">
        <f t="shared" si="44"/>
        <v>0</v>
      </c>
      <c r="AE94" s="134"/>
      <c r="AF94" s="135">
        <f t="shared" si="45"/>
        <v>0</v>
      </c>
      <c r="AG94" s="134"/>
      <c r="AH94" s="135" t="str">
        <f t="shared" si="46"/>
        <v>NA</v>
      </c>
      <c r="AI94" s="134"/>
      <c r="AJ94" s="135" t="str">
        <f t="shared" si="47"/>
        <v>NA</v>
      </c>
      <c r="AK94" s="133">
        <f t="shared" si="48"/>
        <v>0</v>
      </c>
      <c r="AL94" s="133"/>
      <c r="AM94" s="182" t="str">
        <f t="shared" si="49"/>
        <v>NA</v>
      </c>
      <c r="AN94" s="133"/>
      <c r="AO94" s="182" t="str">
        <f t="shared" si="50"/>
        <v>NA</v>
      </c>
      <c r="AP94" s="133"/>
      <c r="AQ94" s="182" t="str">
        <f t="shared" si="51"/>
        <v>NA</v>
      </c>
      <c r="AR94" s="133">
        <f t="shared" si="52"/>
        <v>0</v>
      </c>
      <c r="AS94" s="134"/>
      <c r="AT94" s="135">
        <f t="shared" si="53"/>
        <v>0</v>
      </c>
      <c r="AU94" s="134"/>
      <c r="AV94" s="135" t="str">
        <f t="shared" si="54"/>
        <v>NA</v>
      </c>
      <c r="AW94" s="134"/>
      <c r="AX94" s="135" t="str">
        <f t="shared" si="55"/>
        <v>NA</v>
      </c>
      <c r="AY94" s="133">
        <f t="shared" si="56"/>
        <v>0</v>
      </c>
      <c r="AZ94" s="168">
        <f t="shared" si="57"/>
        <v>0</v>
      </c>
      <c r="BA94" s="173">
        <f t="shared" si="58"/>
        <v>0</v>
      </c>
    </row>
    <row r="95" spans="1:53" ht="20.100000000000001" hidden="1" customHeight="1" x14ac:dyDescent="0.25">
      <c r="A95" s="151">
        <f>IF((A94+1)&lt;=Outline!$E$12,A94+1,0)</f>
        <v>1</v>
      </c>
      <c r="B95" s="117"/>
      <c r="C95" s="118"/>
      <c r="D95" s="170"/>
      <c r="E95" s="165">
        <f t="shared" si="31"/>
        <v>0</v>
      </c>
      <c r="F95" s="151"/>
      <c r="G95" s="165">
        <f t="shared" si="33"/>
        <v>0</v>
      </c>
      <c r="H95" s="151"/>
      <c r="I95" s="165">
        <f t="shared" si="34"/>
        <v>0</v>
      </c>
      <c r="J95" s="151"/>
      <c r="K95" s="165" t="str">
        <f t="shared" si="35"/>
        <v>NA</v>
      </c>
      <c r="L95" s="141">
        <f t="shared" si="30"/>
        <v>0</v>
      </c>
      <c r="M95" s="152"/>
      <c r="N95" s="166">
        <f t="shared" si="36"/>
        <v>0</v>
      </c>
      <c r="O95" s="152"/>
      <c r="P95" s="166">
        <f t="shared" si="37"/>
        <v>0</v>
      </c>
      <c r="Q95" s="152"/>
      <c r="R95" s="166">
        <f t="shared" si="38"/>
        <v>0</v>
      </c>
      <c r="S95" s="152"/>
      <c r="T95" s="166" t="str">
        <f t="shared" si="39"/>
        <v>NA</v>
      </c>
      <c r="U95" s="142">
        <f t="shared" si="32"/>
        <v>0</v>
      </c>
      <c r="V95" s="151"/>
      <c r="W95" s="167">
        <f t="shared" si="40"/>
        <v>0</v>
      </c>
      <c r="X95" s="151"/>
      <c r="Y95" s="167">
        <f t="shared" si="41"/>
        <v>0</v>
      </c>
      <c r="Z95" s="151"/>
      <c r="AA95" s="167">
        <f t="shared" si="42"/>
        <v>0</v>
      </c>
      <c r="AB95" s="151"/>
      <c r="AC95" s="167" t="str">
        <f t="shared" si="43"/>
        <v>NA</v>
      </c>
      <c r="AD95" s="143">
        <f t="shared" si="44"/>
        <v>0</v>
      </c>
      <c r="AE95" s="134"/>
      <c r="AF95" s="135">
        <f t="shared" si="45"/>
        <v>0</v>
      </c>
      <c r="AG95" s="134"/>
      <c r="AH95" s="135" t="str">
        <f t="shared" si="46"/>
        <v>NA</v>
      </c>
      <c r="AI95" s="134"/>
      <c r="AJ95" s="135" t="str">
        <f t="shared" si="47"/>
        <v>NA</v>
      </c>
      <c r="AK95" s="133">
        <f t="shared" si="48"/>
        <v>0</v>
      </c>
      <c r="AL95" s="133"/>
      <c r="AM95" s="182" t="str">
        <f t="shared" si="49"/>
        <v>NA</v>
      </c>
      <c r="AN95" s="133"/>
      <c r="AO95" s="182" t="str">
        <f t="shared" si="50"/>
        <v>NA</v>
      </c>
      <c r="AP95" s="133"/>
      <c r="AQ95" s="182" t="str">
        <f t="shared" si="51"/>
        <v>NA</v>
      </c>
      <c r="AR95" s="133">
        <f t="shared" si="52"/>
        <v>0</v>
      </c>
      <c r="AS95" s="134"/>
      <c r="AT95" s="135">
        <f t="shared" si="53"/>
        <v>0</v>
      </c>
      <c r="AU95" s="134"/>
      <c r="AV95" s="135" t="str">
        <f t="shared" si="54"/>
        <v>NA</v>
      </c>
      <c r="AW95" s="134"/>
      <c r="AX95" s="135" t="str">
        <f t="shared" si="55"/>
        <v>NA</v>
      </c>
      <c r="AY95" s="133">
        <f t="shared" si="56"/>
        <v>0</v>
      </c>
      <c r="AZ95" s="168">
        <f t="shared" si="57"/>
        <v>0</v>
      </c>
      <c r="BA95" s="173">
        <f t="shared" si="58"/>
        <v>0</v>
      </c>
    </row>
    <row r="96" spans="1:53" ht="20.100000000000001" hidden="1" customHeight="1" x14ac:dyDescent="0.25">
      <c r="A96" s="151">
        <f>IF((A95+1)&lt;=Outline!$E$12,A95+1,0)</f>
        <v>2</v>
      </c>
      <c r="B96" s="117"/>
      <c r="C96" s="118"/>
      <c r="D96" s="170"/>
      <c r="E96" s="165">
        <f t="shared" si="31"/>
        <v>0</v>
      </c>
      <c r="F96" s="151"/>
      <c r="G96" s="165">
        <f t="shared" si="33"/>
        <v>0</v>
      </c>
      <c r="H96" s="151"/>
      <c r="I96" s="165">
        <f t="shared" si="34"/>
        <v>0</v>
      </c>
      <c r="J96" s="151"/>
      <c r="K96" s="165" t="str">
        <f t="shared" si="35"/>
        <v>NA</v>
      </c>
      <c r="L96" s="141">
        <f t="shared" si="30"/>
        <v>0</v>
      </c>
      <c r="M96" s="152"/>
      <c r="N96" s="166">
        <f t="shared" si="36"/>
        <v>0</v>
      </c>
      <c r="O96" s="152"/>
      <c r="P96" s="166">
        <f t="shared" si="37"/>
        <v>0</v>
      </c>
      <c r="Q96" s="152"/>
      <c r="R96" s="166">
        <f t="shared" si="38"/>
        <v>0</v>
      </c>
      <c r="S96" s="152"/>
      <c r="T96" s="166" t="str">
        <f t="shared" si="39"/>
        <v>NA</v>
      </c>
      <c r="U96" s="142">
        <f t="shared" si="32"/>
        <v>0</v>
      </c>
      <c r="V96" s="151"/>
      <c r="W96" s="167">
        <f t="shared" si="40"/>
        <v>0</v>
      </c>
      <c r="X96" s="151"/>
      <c r="Y96" s="167">
        <f t="shared" si="41"/>
        <v>0</v>
      </c>
      <c r="Z96" s="151"/>
      <c r="AA96" s="167">
        <f t="shared" si="42"/>
        <v>0</v>
      </c>
      <c r="AB96" s="151"/>
      <c r="AC96" s="167" t="str">
        <f t="shared" si="43"/>
        <v>NA</v>
      </c>
      <c r="AD96" s="143">
        <f t="shared" si="44"/>
        <v>0</v>
      </c>
      <c r="AE96" s="134"/>
      <c r="AF96" s="135">
        <f t="shared" si="45"/>
        <v>0</v>
      </c>
      <c r="AG96" s="134"/>
      <c r="AH96" s="135" t="str">
        <f t="shared" si="46"/>
        <v>NA</v>
      </c>
      <c r="AI96" s="134"/>
      <c r="AJ96" s="135" t="str">
        <f t="shared" si="47"/>
        <v>NA</v>
      </c>
      <c r="AK96" s="133">
        <f t="shared" si="48"/>
        <v>0</v>
      </c>
      <c r="AL96" s="133"/>
      <c r="AM96" s="182" t="str">
        <f t="shared" si="49"/>
        <v>NA</v>
      </c>
      <c r="AN96" s="133"/>
      <c r="AO96" s="182" t="str">
        <f t="shared" si="50"/>
        <v>NA</v>
      </c>
      <c r="AP96" s="133"/>
      <c r="AQ96" s="182" t="str">
        <f t="shared" si="51"/>
        <v>NA</v>
      </c>
      <c r="AR96" s="133">
        <f t="shared" si="52"/>
        <v>0</v>
      </c>
      <c r="AS96" s="134"/>
      <c r="AT96" s="135">
        <f t="shared" si="53"/>
        <v>0</v>
      </c>
      <c r="AU96" s="134"/>
      <c r="AV96" s="135" t="str">
        <f t="shared" si="54"/>
        <v>NA</v>
      </c>
      <c r="AW96" s="134"/>
      <c r="AX96" s="135" t="str">
        <f t="shared" si="55"/>
        <v>NA</v>
      </c>
      <c r="AY96" s="133">
        <f t="shared" si="56"/>
        <v>0</v>
      </c>
      <c r="AZ96" s="168">
        <f t="shared" si="57"/>
        <v>0</v>
      </c>
      <c r="BA96" s="173">
        <f t="shared" si="58"/>
        <v>0</v>
      </c>
    </row>
    <row r="97" spans="1:53" ht="20.100000000000001" hidden="1" customHeight="1" x14ac:dyDescent="0.25">
      <c r="A97" s="151">
        <f>IF((A96+1)&lt;=Outline!$E$12,A96+1,0)</f>
        <v>3</v>
      </c>
      <c r="B97" s="117"/>
      <c r="C97" s="118"/>
      <c r="D97" s="170"/>
      <c r="E97" s="165">
        <f t="shared" si="31"/>
        <v>0</v>
      </c>
      <c r="F97" s="151"/>
      <c r="G97" s="165">
        <f t="shared" si="33"/>
        <v>0</v>
      </c>
      <c r="H97" s="151"/>
      <c r="I97" s="165">
        <f t="shared" si="34"/>
        <v>0</v>
      </c>
      <c r="J97" s="151"/>
      <c r="K97" s="165" t="str">
        <f t="shared" si="35"/>
        <v>NA</v>
      </c>
      <c r="L97" s="141">
        <f t="shared" si="30"/>
        <v>0</v>
      </c>
      <c r="M97" s="152"/>
      <c r="N97" s="166">
        <f t="shared" si="36"/>
        <v>0</v>
      </c>
      <c r="O97" s="152"/>
      <c r="P97" s="166">
        <f t="shared" si="37"/>
        <v>0</v>
      </c>
      <c r="Q97" s="152"/>
      <c r="R97" s="166">
        <f t="shared" si="38"/>
        <v>0</v>
      </c>
      <c r="S97" s="152"/>
      <c r="T97" s="166" t="str">
        <f t="shared" si="39"/>
        <v>NA</v>
      </c>
      <c r="U97" s="142">
        <f t="shared" si="32"/>
        <v>0</v>
      </c>
      <c r="V97" s="151"/>
      <c r="W97" s="167">
        <f t="shared" si="40"/>
        <v>0</v>
      </c>
      <c r="X97" s="151"/>
      <c r="Y97" s="167">
        <f t="shared" si="41"/>
        <v>0</v>
      </c>
      <c r="Z97" s="151"/>
      <c r="AA97" s="167">
        <f t="shared" si="42"/>
        <v>0</v>
      </c>
      <c r="AB97" s="151"/>
      <c r="AC97" s="167" t="str">
        <f t="shared" si="43"/>
        <v>NA</v>
      </c>
      <c r="AD97" s="143">
        <f t="shared" si="44"/>
        <v>0</v>
      </c>
      <c r="AE97" s="134"/>
      <c r="AF97" s="135">
        <f t="shared" si="45"/>
        <v>0</v>
      </c>
      <c r="AG97" s="134"/>
      <c r="AH97" s="135" t="str">
        <f t="shared" si="46"/>
        <v>NA</v>
      </c>
      <c r="AI97" s="134"/>
      <c r="AJ97" s="135" t="str">
        <f t="shared" si="47"/>
        <v>NA</v>
      </c>
      <c r="AK97" s="133">
        <f t="shared" si="48"/>
        <v>0</v>
      </c>
      <c r="AL97" s="133"/>
      <c r="AM97" s="182" t="str">
        <f t="shared" si="49"/>
        <v>NA</v>
      </c>
      <c r="AN97" s="133"/>
      <c r="AO97" s="182" t="str">
        <f t="shared" si="50"/>
        <v>NA</v>
      </c>
      <c r="AP97" s="133"/>
      <c r="AQ97" s="182" t="str">
        <f t="shared" si="51"/>
        <v>NA</v>
      </c>
      <c r="AR97" s="133">
        <f t="shared" si="52"/>
        <v>0</v>
      </c>
      <c r="AS97" s="134"/>
      <c r="AT97" s="135">
        <f t="shared" si="53"/>
        <v>0</v>
      </c>
      <c r="AU97" s="134"/>
      <c r="AV97" s="135" t="str">
        <f t="shared" si="54"/>
        <v>NA</v>
      </c>
      <c r="AW97" s="134"/>
      <c r="AX97" s="135" t="str">
        <f t="shared" si="55"/>
        <v>NA</v>
      </c>
      <c r="AY97" s="133">
        <f t="shared" si="56"/>
        <v>0</v>
      </c>
      <c r="AZ97" s="168">
        <f t="shared" si="57"/>
        <v>0</v>
      </c>
      <c r="BA97" s="173">
        <f t="shared" si="58"/>
        <v>0</v>
      </c>
    </row>
    <row r="98" spans="1:53" ht="20.100000000000001" hidden="1" customHeight="1" x14ac:dyDescent="0.25">
      <c r="A98" s="151">
        <f>IF((A97+1)&lt;=Outline!$E$12,A97+1,0)</f>
        <v>4</v>
      </c>
      <c r="B98" s="117"/>
      <c r="C98" s="118"/>
      <c r="D98" s="170"/>
      <c r="E98" s="165">
        <f t="shared" si="31"/>
        <v>0</v>
      </c>
      <c r="F98" s="151"/>
      <c r="G98" s="165">
        <f t="shared" si="33"/>
        <v>0</v>
      </c>
      <c r="H98" s="151"/>
      <c r="I98" s="165">
        <f t="shared" si="34"/>
        <v>0</v>
      </c>
      <c r="J98" s="151"/>
      <c r="K98" s="165" t="str">
        <f t="shared" si="35"/>
        <v>NA</v>
      </c>
      <c r="L98" s="141">
        <f t="shared" si="30"/>
        <v>0</v>
      </c>
      <c r="M98" s="152"/>
      <c r="N98" s="166">
        <f t="shared" si="36"/>
        <v>0</v>
      </c>
      <c r="O98" s="152"/>
      <c r="P98" s="166">
        <f t="shared" si="37"/>
        <v>0</v>
      </c>
      <c r="Q98" s="152"/>
      <c r="R98" s="166">
        <f t="shared" si="38"/>
        <v>0</v>
      </c>
      <c r="S98" s="152"/>
      <c r="T98" s="166" t="str">
        <f t="shared" si="39"/>
        <v>NA</v>
      </c>
      <c r="U98" s="142">
        <f t="shared" si="32"/>
        <v>0</v>
      </c>
      <c r="V98" s="151"/>
      <c r="W98" s="167">
        <f t="shared" si="40"/>
        <v>0</v>
      </c>
      <c r="X98" s="151"/>
      <c r="Y98" s="167">
        <f t="shared" si="41"/>
        <v>0</v>
      </c>
      <c r="Z98" s="151"/>
      <c r="AA98" s="167">
        <f t="shared" si="42"/>
        <v>0</v>
      </c>
      <c r="AB98" s="151"/>
      <c r="AC98" s="167" t="str">
        <f t="shared" si="43"/>
        <v>NA</v>
      </c>
      <c r="AD98" s="143">
        <f t="shared" si="44"/>
        <v>0</v>
      </c>
      <c r="AE98" s="134"/>
      <c r="AF98" s="135">
        <f t="shared" si="45"/>
        <v>0</v>
      </c>
      <c r="AG98" s="134"/>
      <c r="AH98" s="135" t="str">
        <f t="shared" si="46"/>
        <v>NA</v>
      </c>
      <c r="AI98" s="134"/>
      <c r="AJ98" s="135" t="str">
        <f t="shared" si="47"/>
        <v>NA</v>
      </c>
      <c r="AK98" s="133">
        <f t="shared" si="48"/>
        <v>0</v>
      </c>
      <c r="AL98" s="133"/>
      <c r="AM98" s="182" t="str">
        <f t="shared" si="49"/>
        <v>NA</v>
      </c>
      <c r="AN98" s="133"/>
      <c r="AO98" s="182" t="str">
        <f t="shared" si="50"/>
        <v>NA</v>
      </c>
      <c r="AP98" s="133"/>
      <c r="AQ98" s="182" t="str">
        <f t="shared" si="51"/>
        <v>NA</v>
      </c>
      <c r="AR98" s="133">
        <f t="shared" si="52"/>
        <v>0</v>
      </c>
      <c r="AS98" s="134"/>
      <c r="AT98" s="135">
        <f t="shared" si="53"/>
        <v>0</v>
      </c>
      <c r="AU98" s="134"/>
      <c r="AV98" s="135" t="str">
        <f t="shared" si="54"/>
        <v>NA</v>
      </c>
      <c r="AW98" s="134"/>
      <c r="AX98" s="135" t="str">
        <f t="shared" si="55"/>
        <v>NA</v>
      </c>
      <c r="AY98" s="133">
        <f t="shared" si="56"/>
        <v>0</v>
      </c>
      <c r="AZ98" s="168">
        <f t="shared" si="57"/>
        <v>0</v>
      </c>
      <c r="BA98" s="173">
        <f t="shared" si="58"/>
        <v>0</v>
      </c>
    </row>
    <row r="99" spans="1:53" ht="20.100000000000001" hidden="1" customHeight="1" x14ac:dyDescent="0.25">
      <c r="A99" s="151">
        <f>IF((A98+1)&lt;=Outline!$E$12,A98+1,0)</f>
        <v>5</v>
      </c>
      <c r="B99" s="117"/>
      <c r="C99" s="118"/>
      <c r="D99" s="170"/>
      <c r="E99" s="165">
        <f t="shared" si="31"/>
        <v>0</v>
      </c>
      <c r="F99" s="151"/>
      <c r="G99" s="165">
        <f t="shared" si="33"/>
        <v>0</v>
      </c>
      <c r="H99" s="151"/>
      <c r="I99" s="165">
        <f t="shared" si="34"/>
        <v>0</v>
      </c>
      <c r="J99" s="151"/>
      <c r="K99" s="165" t="str">
        <f t="shared" si="35"/>
        <v>NA</v>
      </c>
      <c r="L99" s="141">
        <f t="shared" si="30"/>
        <v>0</v>
      </c>
      <c r="M99" s="152"/>
      <c r="N99" s="166">
        <f t="shared" si="36"/>
        <v>0</v>
      </c>
      <c r="O99" s="152"/>
      <c r="P99" s="166">
        <f t="shared" si="37"/>
        <v>0</v>
      </c>
      <c r="Q99" s="152"/>
      <c r="R99" s="166">
        <f t="shared" si="38"/>
        <v>0</v>
      </c>
      <c r="S99" s="152"/>
      <c r="T99" s="166" t="str">
        <f t="shared" si="39"/>
        <v>NA</v>
      </c>
      <c r="U99" s="142">
        <f t="shared" si="32"/>
        <v>0</v>
      </c>
      <c r="V99" s="151"/>
      <c r="W99" s="167">
        <f t="shared" si="40"/>
        <v>0</v>
      </c>
      <c r="X99" s="151"/>
      <c r="Y99" s="167">
        <f t="shared" si="41"/>
        <v>0</v>
      </c>
      <c r="Z99" s="151"/>
      <c r="AA99" s="167">
        <f t="shared" si="42"/>
        <v>0</v>
      </c>
      <c r="AB99" s="151"/>
      <c r="AC99" s="167" t="str">
        <f t="shared" si="43"/>
        <v>NA</v>
      </c>
      <c r="AD99" s="143">
        <f t="shared" si="44"/>
        <v>0</v>
      </c>
      <c r="AE99" s="134"/>
      <c r="AF99" s="135">
        <f t="shared" si="45"/>
        <v>0</v>
      </c>
      <c r="AG99" s="134"/>
      <c r="AH99" s="135" t="str">
        <f t="shared" si="46"/>
        <v>NA</v>
      </c>
      <c r="AI99" s="134"/>
      <c r="AJ99" s="135" t="str">
        <f t="shared" si="47"/>
        <v>NA</v>
      </c>
      <c r="AK99" s="133">
        <f t="shared" si="48"/>
        <v>0</v>
      </c>
      <c r="AL99" s="133"/>
      <c r="AM99" s="182" t="str">
        <f t="shared" si="49"/>
        <v>NA</v>
      </c>
      <c r="AN99" s="133"/>
      <c r="AO99" s="182" t="str">
        <f t="shared" si="50"/>
        <v>NA</v>
      </c>
      <c r="AP99" s="133"/>
      <c r="AQ99" s="182" t="str">
        <f t="shared" si="51"/>
        <v>NA</v>
      </c>
      <c r="AR99" s="133">
        <f t="shared" si="52"/>
        <v>0</v>
      </c>
      <c r="AS99" s="134"/>
      <c r="AT99" s="135">
        <f t="shared" si="53"/>
        <v>0</v>
      </c>
      <c r="AU99" s="134"/>
      <c r="AV99" s="135" t="str">
        <f t="shared" si="54"/>
        <v>NA</v>
      </c>
      <c r="AW99" s="134"/>
      <c r="AX99" s="135" t="str">
        <f t="shared" si="55"/>
        <v>NA</v>
      </c>
      <c r="AY99" s="133">
        <f t="shared" si="56"/>
        <v>0</v>
      </c>
      <c r="AZ99" s="168">
        <f t="shared" si="57"/>
        <v>0</v>
      </c>
      <c r="BA99" s="173">
        <f t="shared" si="58"/>
        <v>0</v>
      </c>
    </row>
    <row r="100" spans="1:53" ht="20.100000000000001" hidden="1" customHeight="1" x14ac:dyDescent="0.25">
      <c r="A100" s="151">
        <f>IF((A99+1)&lt;=Outline!$E$12,A99+1,0)</f>
        <v>6</v>
      </c>
      <c r="B100" s="117"/>
      <c r="C100" s="118"/>
      <c r="D100" s="170"/>
      <c r="E100" s="165">
        <f t="shared" si="31"/>
        <v>0</v>
      </c>
      <c r="F100" s="151"/>
      <c r="G100" s="165">
        <f t="shared" si="33"/>
        <v>0</v>
      </c>
      <c r="H100" s="151"/>
      <c r="I100" s="165">
        <f t="shared" si="34"/>
        <v>0</v>
      </c>
      <c r="J100" s="151"/>
      <c r="K100" s="165" t="str">
        <f t="shared" si="35"/>
        <v>NA</v>
      </c>
      <c r="L100" s="141">
        <f t="shared" si="30"/>
        <v>0</v>
      </c>
      <c r="M100" s="152"/>
      <c r="N100" s="166">
        <f t="shared" si="36"/>
        <v>0</v>
      </c>
      <c r="O100" s="152"/>
      <c r="P100" s="166">
        <f t="shared" si="37"/>
        <v>0</v>
      </c>
      <c r="Q100" s="152"/>
      <c r="R100" s="166">
        <f t="shared" si="38"/>
        <v>0</v>
      </c>
      <c r="S100" s="152"/>
      <c r="T100" s="166" t="str">
        <f t="shared" si="39"/>
        <v>NA</v>
      </c>
      <c r="U100" s="142">
        <f t="shared" si="32"/>
        <v>0</v>
      </c>
      <c r="V100" s="151"/>
      <c r="W100" s="167">
        <f t="shared" si="40"/>
        <v>0</v>
      </c>
      <c r="X100" s="151"/>
      <c r="Y100" s="167">
        <f t="shared" si="41"/>
        <v>0</v>
      </c>
      <c r="Z100" s="151"/>
      <c r="AA100" s="167">
        <f t="shared" si="42"/>
        <v>0</v>
      </c>
      <c r="AB100" s="151"/>
      <c r="AC100" s="167" t="str">
        <f t="shared" si="43"/>
        <v>NA</v>
      </c>
      <c r="AD100" s="143">
        <f t="shared" si="44"/>
        <v>0</v>
      </c>
      <c r="AE100" s="134"/>
      <c r="AF100" s="135">
        <f t="shared" si="45"/>
        <v>0</v>
      </c>
      <c r="AG100" s="134"/>
      <c r="AH100" s="135" t="str">
        <f t="shared" si="46"/>
        <v>NA</v>
      </c>
      <c r="AI100" s="134"/>
      <c r="AJ100" s="135" t="str">
        <f t="shared" si="47"/>
        <v>NA</v>
      </c>
      <c r="AK100" s="133">
        <f t="shared" si="48"/>
        <v>0</v>
      </c>
      <c r="AL100" s="133"/>
      <c r="AM100" s="182" t="str">
        <f t="shared" si="49"/>
        <v>NA</v>
      </c>
      <c r="AN100" s="133"/>
      <c r="AO100" s="182" t="str">
        <f t="shared" si="50"/>
        <v>NA</v>
      </c>
      <c r="AP100" s="133"/>
      <c r="AQ100" s="182" t="str">
        <f t="shared" si="51"/>
        <v>NA</v>
      </c>
      <c r="AR100" s="133">
        <f t="shared" si="52"/>
        <v>0</v>
      </c>
      <c r="AS100" s="134"/>
      <c r="AT100" s="135">
        <f t="shared" si="53"/>
        <v>0</v>
      </c>
      <c r="AU100" s="134"/>
      <c r="AV100" s="135" t="str">
        <f t="shared" si="54"/>
        <v>NA</v>
      </c>
      <c r="AW100" s="134"/>
      <c r="AX100" s="135" t="str">
        <f t="shared" si="55"/>
        <v>NA</v>
      </c>
      <c r="AY100" s="133">
        <f t="shared" si="56"/>
        <v>0</v>
      </c>
      <c r="AZ100" s="168">
        <f t="shared" si="57"/>
        <v>0</v>
      </c>
      <c r="BA100" s="173">
        <f t="shared" si="58"/>
        <v>0</v>
      </c>
    </row>
    <row r="101" spans="1:53" ht="20.100000000000001" hidden="1" customHeight="1" x14ac:dyDescent="0.25">
      <c r="A101" s="151">
        <f>IF((A100+1)&lt;=Outline!$E$12,A100+1,0)</f>
        <v>7</v>
      </c>
      <c r="B101" s="117"/>
      <c r="C101" s="118"/>
      <c r="D101" s="170"/>
      <c r="E101" s="165">
        <f t="shared" si="31"/>
        <v>0</v>
      </c>
      <c r="F101" s="151"/>
      <c r="G101" s="165">
        <f t="shared" si="33"/>
        <v>0</v>
      </c>
      <c r="H101" s="151"/>
      <c r="I101" s="165">
        <f t="shared" si="34"/>
        <v>0</v>
      </c>
      <c r="J101" s="151"/>
      <c r="K101" s="165" t="str">
        <f t="shared" si="35"/>
        <v>NA</v>
      </c>
      <c r="L101" s="141">
        <f t="shared" si="30"/>
        <v>0</v>
      </c>
      <c r="M101" s="152"/>
      <c r="N101" s="166">
        <f t="shared" si="36"/>
        <v>0</v>
      </c>
      <c r="O101" s="152"/>
      <c r="P101" s="166">
        <f t="shared" si="37"/>
        <v>0</v>
      </c>
      <c r="Q101" s="152"/>
      <c r="R101" s="166">
        <f t="shared" si="38"/>
        <v>0</v>
      </c>
      <c r="S101" s="152"/>
      <c r="T101" s="166" t="str">
        <f t="shared" si="39"/>
        <v>NA</v>
      </c>
      <c r="U101" s="142">
        <f t="shared" si="32"/>
        <v>0</v>
      </c>
      <c r="V101" s="151"/>
      <c r="W101" s="167">
        <f t="shared" si="40"/>
        <v>0</v>
      </c>
      <c r="X101" s="151"/>
      <c r="Y101" s="167">
        <f t="shared" si="41"/>
        <v>0</v>
      </c>
      <c r="Z101" s="151"/>
      <c r="AA101" s="167">
        <f t="shared" si="42"/>
        <v>0</v>
      </c>
      <c r="AB101" s="151"/>
      <c r="AC101" s="167" t="str">
        <f t="shared" si="43"/>
        <v>NA</v>
      </c>
      <c r="AD101" s="143">
        <f t="shared" si="44"/>
        <v>0</v>
      </c>
      <c r="AE101" s="134"/>
      <c r="AF101" s="135">
        <f t="shared" si="45"/>
        <v>0</v>
      </c>
      <c r="AG101" s="134"/>
      <c r="AH101" s="135" t="str">
        <f t="shared" si="46"/>
        <v>NA</v>
      </c>
      <c r="AI101" s="134"/>
      <c r="AJ101" s="135" t="str">
        <f t="shared" si="47"/>
        <v>NA</v>
      </c>
      <c r="AK101" s="133">
        <f t="shared" si="48"/>
        <v>0</v>
      </c>
      <c r="AL101" s="133"/>
      <c r="AM101" s="182" t="str">
        <f t="shared" si="49"/>
        <v>NA</v>
      </c>
      <c r="AN101" s="133"/>
      <c r="AO101" s="182" t="str">
        <f t="shared" si="50"/>
        <v>NA</v>
      </c>
      <c r="AP101" s="133"/>
      <c r="AQ101" s="182" t="str">
        <f t="shared" si="51"/>
        <v>NA</v>
      </c>
      <c r="AR101" s="133">
        <f t="shared" si="52"/>
        <v>0</v>
      </c>
      <c r="AS101" s="134"/>
      <c r="AT101" s="135">
        <f t="shared" si="53"/>
        <v>0</v>
      </c>
      <c r="AU101" s="134"/>
      <c r="AV101" s="135" t="str">
        <f t="shared" si="54"/>
        <v>NA</v>
      </c>
      <c r="AW101" s="134"/>
      <c r="AX101" s="135" t="str">
        <f t="shared" si="55"/>
        <v>NA</v>
      </c>
      <c r="AY101" s="133">
        <f t="shared" si="56"/>
        <v>0</v>
      </c>
      <c r="AZ101" s="168">
        <f t="shared" si="57"/>
        <v>0</v>
      </c>
      <c r="BA101" s="173">
        <f t="shared" si="58"/>
        <v>0</v>
      </c>
    </row>
    <row r="102" spans="1:53" ht="20.100000000000001" hidden="1" customHeight="1" x14ac:dyDescent="0.25">
      <c r="A102" s="151">
        <f>IF((A101+1)&lt;=Outline!$E$12,A101+1,0)</f>
        <v>8</v>
      </c>
      <c r="B102" s="117"/>
      <c r="C102" s="118"/>
      <c r="D102" s="170"/>
      <c r="E102" s="165">
        <f t="shared" si="31"/>
        <v>0</v>
      </c>
      <c r="F102" s="151"/>
      <c r="G102" s="165">
        <f t="shared" si="33"/>
        <v>0</v>
      </c>
      <c r="H102" s="151"/>
      <c r="I102" s="165">
        <f t="shared" si="34"/>
        <v>0</v>
      </c>
      <c r="J102" s="151"/>
      <c r="K102" s="165" t="str">
        <f t="shared" si="35"/>
        <v>NA</v>
      </c>
      <c r="L102" s="141">
        <f t="shared" si="30"/>
        <v>0</v>
      </c>
      <c r="M102" s="152"/>
      <c r="N102" s="166">
        <f t="shared" si="36"/>
        <v>0</v>
      </c>
      <c r="O102" s="152"/>
      <c r="P102" s="166">
        <f t="shared" si="37"/>
        <v>0</v>
      </c>
      <c r="Q102" s="152"/>
      <c r="R102" s="166">
        <f t="shared" si="38"/>
        <v>0</v>
      </c>
      <c r="S102" s="152"/>
      <c r="T102" s="166" t="str">
        <f t="shared" si="39"/>
        <v>NA</v>
      </c>
      <c r="U102" s="142">
        <f t="shared" si="32"/>
        <v>0</v>
      </c>
      <c r="V102" s="151"/>
      <c r="W102" s="167">
        <f t="shared" si="40"/>
        <v>0</v>
      </c>
      <c r="X102" s="151"/>
      <c r="Y102" s="167">
        <f t="shared" si="41"/>
        <v>0</v>
      </c>
      <c r="Z102" s="151"/>
      <c r="AA102" s="167">
        <f t="shared" si="42"/>
        <v>0</v>
      </c>
      <c r="AB102" s="151"/>
      <c r="AC102" s="167" t="str">
        <f t="shared" si="43"/>
        <v>NA</v>
      </c>
      <c r="AD102" s="143">
        <f t="shared" si="44"/>
        <v>0</v>
      </c>
      <c r="AE102" s="134"/>
      <c r="AF102" s="135">
        <f t="shared" si="45"/>
        <v>0</v>
      </c>
      <c r="AG102" s="134"/>
      <c r="AH102" s="135" t="str">
        <f t="shared" si="46"/>
        <v>NA</v>
      </c>
      <c r="AI102" s="134"/>
      <c r="AJ102" s="135" t="str">
        <f t="shared" si="47"/>
        <v>NA</v>
      </c>
      <c r="AK102" s="133">
        <f t="shared" si="48"/>
        <v>0</v>
      </c>
      <c r="AL102" s="133"/>
      <c r="AM102" s="182" t="str">
        <f t="shared" si="49"/>
        <v>NA</v>
      </c>
      <c r="AN102" s="133"/>
      <c r="AO102" s="182" t="str">
        <f t="shared" si="50"/>
        <v>NA</v>
      </c>
      <c r="AP102" s="133"/>
      <c r="AQ102" s="182" t="str">
        <f t="shared" si="51"/>
        <v>NA</v>
      </c>
      <c r="AR102" s="133">
        <f t="shared" si="52"/>
        <v>0</v>
      </c>
      <c r="AS102" s="134"/>
      <c r="AT102" s="135">
        <f t="shared" si="53"/>
        <v>0</v>
      </c>
      <c r="AU102" s="134"/>
      <c r="AV102" s="135" t="str">
        <f t="shared" si="54"/>
        <v>NA</v>
      </c>
      <c r="AW102" s="134"/>
      <c r="AX102" s="135" t="str">
        <f t="shared" si="55"/>
        <v>NA</v>
      </c>
      <c r="AY102" s="133">
        <f t="shared" si="56"/>
        <v>0</v>
      </c>
      <c r="AZ102" s="168">
        <f t="shared" si="57"/>
        <v>0</v>
      </c>
      <c r="BA102" s="173">
        <f t="shared" si="58"/>
        <v>0</v>
      </c>
    </row>
    <row r="103" spans="1:53" ht="20.100000000000001" hidden="1" customHeight="1" x14ac:dyDescent="0.25">
      <c r="A103" s="151">
        <f>IF((A102+1)&lt;=Outline!$E$12,A102+1,0)</f>
        <v>9</v>
      </c>
      <c r="B103" s="117"/>
      <c r="C103" s="118"/>
      <c r="D103" s="170"/>
      <c r="E103" s="165">
        <f t="shared" si="31"/>
        <v>0</v>
      </c>
      <c r="F103" s="151"/>
      <c r="G103" s="165">
        <f t="shared" si="33"/>
        <v>0</v>
      </c>
      <c r="H103" s="151"/>
      <c r="I103" s="165">
        <f t="shared" si="34"/>
        <v>0</v>
      </c>
      <c r="J103" s="151"/>
      <c r="K103" s="165" t="str">
        <f t="shared" si="35"/>
        <v>NA</v>
      </c>
      <c r="L103" s="141">
        <f t="shared" si="30"/>
        <v>0</v>
      </c>
      <c r="M103" s="152"/>
      <c r="N103" s="166">
        <f t="shared" si="36"/>
        <v>0</v>
      </c>
      <c r="O103" s="152"/>
      <c r="P103" s="166">
        <f t="shared" si="37"/>
        <v>0</v>
      </c>
      <c r="Q103" s="152"/>
      <c r="R103" s="166">
        <f t="shared" si="38"/>
        <v>0</v>
      </c>
      <c r="S103" s="152"/>
      <c r="T103" s="166" t="str">
        <f t="shared" si="39"/>
        <v>NA</v>
      </c>
      <c r="U103" s="142">
        <f t="shared" si="32"/>
        <v>0</v>
      </c>
      <c r="V103" s="151"/>
      <c r="W103" s="167">
        <f t="shared" si="40"/>
        <v>0</v>
      </c>
      <c r="X103" s="151"/>
      <c r="Y103" s="167">
        <f t="shared" si="41"/>
        <v>0</v>
      </c>
      <c r="Z103" s="151"/>
      <c r="AA103" s="167">
        <f t="shared" si="42"/>
        <v>0</v>
      </c>
      <c r="AB103" s="151"/>
      <c r="AC103" s="167" t="str">
        <f t="shared" si="43"/>
        <v>NA</v>
      </c>
      <c r="AD103" s="143">
        <f t="shared" si="44"/>
        <v>0</v>
      </c>
      <c r="AE103" s="134"/>
      <c r="AF103" s="135">
        <f t="shared" si="45"/>
        <v>0</v>
      </c>
      <c r="AG103" s="134"/>
      <c r="AH103" s="135" t="str">
        <f t="shared" si="46"/>
        <v>NA</v>
      </c>
      <c r="AI103" s="134"/>
      <c r="AJ103" s="135" t="str">
        <f t="shared" si="47"/>
        <v>NA</v>
      </c>
      <c r="AK103" s="133">
        <f t="shared" si="48"/>
        <v>0</v>
      </c>
      <c r="AL103" s="133"/>
      <c r="AM103" s="182" t="str">
        <f t="shared" si="49"/>
        <v>NA</v>
      </c>
      <c r="AN103" s="133"/>
      <c r="AO103" s="182" t="str">
        <f t="shared" si="50"/>
        <v>NA</v>
      </c>
      <c r="AP103" s="133"/>
      <c r="AQ103" s="182" t="str">
        <f t="shared" si="51"/>
        <v>NA</v>
      </c>
      <c r="AR103" s="133">
        <f t="shared" si="52"/>
        <v>0</v>
      </c>
      <c r="AS103" s="134"/>
      <c r="AT103" s="135">
        <f t="shared" si="53"/>
        <v>0</v>
      </c>
      <c r="AU103" s="134"/>
      <c r="AV103" s="135" t="str">
        <f t="shared" si="54"/>
        <v>NA</v>
      </c>
      <c r="AW103" s="134"/>
      <c r="AX103" s="135" t="str">
        <f t="shared" si="55"/>
        <v>NA</v>
      </c>
      <c r="AY103" s="133">
        <f t="shared" si="56"/>
        <v>0</v>
      </c>
      <c r="AZ103" s="168">
        <f t="shared" si="57"/>
        <v>0</v>
      </c>
      <c r="BA103" s="173">
        <f t="shared" si="58"/>
        <v>0</v>
      </c>
    </row>
    <row r="104" spans="1:53" ht="20.100000000000001" hidden="1" customHeight="1" x14ac:dyDescent="0.25">
      <c r="A104" s="151">
        <f>IF((A103+1)&lt;=Outline!$E$12,A103+1,0)</f>
        <v>10</v>
      </c>
      <c r="B104" s="117"/>
      <c r="C104" s="118"/>
      <c r="D104" s="170"/>
      <c r="E104" s="165">
        <f t="shared" si="31"/>
        <v>0</v>
      </c>
      <c r="F104" s="151"/>
      <c r="G104" s="165">
        <f t="shared" si="33"/>
        <v>0</v>
      </c>
      <c r="H104" s="151"/>
      <c r="I104" s="165">
        <f t="shared" si="34"/>
        <v>0</v>
      </c>
      <c r="J104" s="151"/>
      <c r="K104" s="165" t="str">
        <f t="shared" si="35"/>
        <v>NA</v>
      </c>
      <c r="L104" s="141">
        <f t="shared" ref="L104:L118" si="59">SUM(D104,F104,H104,J104)</f>
        <v>0</v>
      </c>
      <c r="M104" s="152"/>
      <c r="N104" s="166">
        <f t="shared" si="36"/>
        <v>0</v>
      </c>
      <c r="O104" s="152"/>
      <c r="P104" s="166">
        <f t="shared" si="37"/>
        <v>0</v>
      </c>
      <c r="Q104" s="152"/>
      <c r="R104" s="166">
        <f t="shared" si="38"/>
        <v>0</v>
      </c>
      <c r="S104" s="152"/>
      <c r="T104" s="166" t="str">
        <f t="shared" si="39"/>
        <v>NA</v>
      </c>
      <c r="U104" s="142">
        <f t="shared" si="32"/>
        <v>0</v>
      </c>
      <c r="V104" s="151"/>
      <c r="W104" s="167">
        <f t="shared" si="40"/>
        <v>0</v>
      </c>
      <c r="X104" s="151"/>
      <c r="Y104" s="167">
        <f t="shared" si="41"/>
        <v>0</v>
      </c>
      <c r="Z104" s="151"/>
      <c r="AA104" s="167">
        <f t="shared" si="42"/>
        <v>0</v>
      </c>
      <c r="AB104" s="151"/>
      <c r="AC104" s="167" t="str">
        <f t="shared" si="43"/>
        <v>NA</v>
      </c>
      <c r="AD104" s="143">
        <f t="shared" si="44"/>
        <v>0</v>
      </c>
      <c r="AE104" s="134"/>
      <c r="AF104" s="135">
        <f t="shared" si="45"/>
        <v>0</v>
      </c>
      <c r="AG104" s="134"/>
      <c r="AH104" s="135" t="str">
        <f t="shared" si="46"/>
        <v>NA</v>
      </c>
      <c r="AI104" s="134"/>
      <c r="AJ104" s="135" t="str">
        <f t="shared" si="47"/>
        <v>NA</v>
      </c>
      <c r="AK104" s="133">
        <f t="shared" si="48"/>
        <v>0</v>
      </c>
      <c r="AL104" s="133"/>
      <c r="AM104" s="182" t="str">
        <f t="shared" si="49"/>
        <v>NA</v>
      </c>
      <c r="AN104" s="133"/>
      <c r="AO104" s="182" t="str">
        <f t="shared" si="50"/>
        <v>NA</v>
      </c>
      <c r="AP104" s="133"/>
      <c r="AQ104" s="182" t="str">
        <f t="shared" si="51"/>
        <v>NA</v>
      </c>
      <c r="AR104" s="133">
        <f t="shared" si="52"/>
        <v>0</v>
      </c>
      <c r="AS104" s="134"/>
      <c r="AT104" s="135">
        <f t="shared" si="53"/>
        <v>0</v>
      </c>
      <c r="AU104" s="134"/>
      <c r="AV104" s="135" t="str">
        <f t="shared" si="54"/>
        <v>NA</v>
      </c>
      <c r="AW104" s="134"/>
      <c r="AX104" s="135" t="str">
        <f t="shared" si="55"/>
        <v>NA</v>
      </c>
      <c r="AY104" s="133">
        <f t="shared" si="56"/>
        <v>0</v>
      </c>
      <c r="AZ104" s="168">
        <f t="shared" si="57"/>
        <v>0</v>
      </c>
      <c r="BA104" s="173">
        <f t="shared" si="58"/>
        <v>0</v>
      </c>
    </row>
    <row r="105" spans="1:53" ht="20.100000000000001" hidden="1" customHeight="1" x14ac:dyDescent="0.25">
      <c r="A105" s="151">
        <f>IF((A104+1)&lt;=Outline!$E$12,A104+1,0)</f>
        <v>11</v>
      </c>
      <c r="B105" s="117"/>
      <c r="C105" s="118"/>
      <c r="D105" s="170"/>
      <c r="E105" s="165">
        <f t="shared" si="31"/>
        <v>0</v>
      </c>
      <c r="F105" s="151"/>
      <c r="G105" s="165">
        <f t="shared" si="33"/>
        <v>0</v>
      </c>
      <c r="H105" s="151"/>
      <c r="I105" s="165">
        <f t="shared" si="34"/>
        <v>0</v>
      </c>
      <c r="J105" s="151"/>
      <c r="K105" s="165" t="str">
        <f t="shared" si="35"/>
        <v>NA</v>
      </c>
      <c r="L105" s="141">
        <f t="shared" si="59"/>
        <v>0</v>
      </c>
      <c r="M105" s="152"/>
      <c r="N105" s="166">
        <f t="shared" si="36"/>
        <v>0</v>
      </c>
      <c r="O105" s="152"/>
      <c r="P105" s="166">
        <f t="shared" si="37"/>
        <v>0</v>
      </c>
      <c r="Q105" s="152"/>
      <c r="R105" s="166">
        <f t="shared" si="38"/>
        <v>0</v>
      </c>
      <c r="S105" s="152"/>
      <c r="T105" s="166" t="str">
        <f t="shared" si="39"/>
        <v>NA</v>
      </c>
      <c r="U105" s="142">
        <f t="shared" si="32"/>
        <v>0</v>
      </c>
      <c r="V105" s="151"/>
      <c r="W105" s="167">
        <f t="shared" si="40"/>
        <v>0</v>
      </c>
      <c r="X105" s="151"/>
      <c r="Y105" s="167">
        <f t="shared" si="41"/>
        <v>0</v>
      </c>
      <c r="Z105" s="151"/>
      <c r="AA105" s="167">
        <f t="shared" si="42"/>
        <v>0</v>
      </c>
      <c r="AB105" s="151"/>
      <c r="AC105" s="167" t="str">
        <f t="shared" si="43"/>
        <v>NA</v>
      </c>
      <c r="AD105" s="143">
        <f t="shared" si="44"/>
        <v>0</v>
      </c>
      <c r="AE105" s="134"/>
      <c r="AF105" s="135">
        <f t="shared" si="45"/>
        <v>0</v>
      </c>
      <c r="AG105" s="134"/>
      <c r="AH105" s="135" t="str">
        <f t="shared" si="46"/>
        <v>NA</v>
      </c>
      <c r="AI105" s="134"/>
      <c r="AJ105" s="135" t="str">
        <f t="shared" si="47"/>
        <v>NA</v>
      </c>
      <c r="AK105" s="133">
        <f t="shared" si="48"/>
        <v>0</v>
      </c>
      <c r="AL105" s="133"/>
      <c r="AM105" s="182" t="str">
        <f t="shared" si="49"/>
        <v>NA</v>
      </c>
      <c r="AN105" s="133"/>
      <c r="AO105" s="182" t="str">
        <f t="shared" si="50"/>
        <v>NA</v>
      </c>
      <c r="AP105" s="133"/>
      <c r="AQ105" s="182" t="str">
        <f t="shared" si="51"/>
        <v>NA</v>
      </c>
      <c r="AR105" s="133">
        <f t="shared" si="52"/>
        <v>0</v>
      </c>
      <c r="AS105" s="134"/>
      <c r="AT105" s="135">
        <f t="shared" si="53"/>
        <v>0</v>
      </c>
      <c r="AU105" s="134"/>
      <c r="AV105" s="135" t="str">
        <f t="shared" si="54"/>
        <v>NA</v>
      </c>
      <c r="AW105" s="134"/>
      <c r="AX105" s="135" t="str">
        <f t="shared" si="55"/>
        <v>NA</v>
      </c>
      <c r="AY105" s="133">
        <f t="shared" si="56"/>
        <v>0</v>
      </c>
      <c r="AZ105" s="168">
        <f t="shared" si="57"/>
        <v>0</v>
      </c>
      <c r="BA105" s="173">
        <f t="shared" si="58"/>
        <v>0</v>
      </c>
    </row>
    <row r="106" spans="1:53" ht="20.100000000000001" hidden="1" customHeight="1" x14ac:dyDescent="0.25">
      <c r="A106" s="151">
        <f>IF((A105+1)&lt;=Outline!$E$12,A105+1,0)</f>
        <v>12</v>
      </c>
      <c r="B106" s="117"/>
      <c r="C106" s="118"/>
      <c r="D106" s="170"/>
      <c r="E106" s="165">
        <f t="shared" si="31"/>
        <v>0</v>
      </c>
      <c r="F106" s="151"/>
      <c r="G106" s="165">
        <f t="shared" si="33"/>
        <v>0</v>
      </c>
      <c r="H106" s="151"/>
      <c r="I106" s="165">
        <f t="shared" si="34"/>
        <v>0</v>
      </c>
      <c r="J106" s="151"/>
      <c r="K106" s="165" t="str">
        <f t="shared" si="35"/>
        <v>NA</v>
      </c>
      <c r="L106" s="141">
        <f t="shared" si="59"/>
        <v>0</v>
      </c>
      <c r="M106" s="152"/>
      <c r="N106" s="166">
        <f t="shared" si="36"/>
        <v>0</v>
      </c>
      <c r="O106" s="152"/>
      <c r="P106" s="166">
        <f t="shared" si="37"/>
        <v>0</v>
      </c>
      <c r="Q106" s="152"/>
      <c r="R106" s="166">
        <f t="shared" si="38"/>
        <v>0</v>
      </c>
      <c r="S106" s="152"/>
      <c r="T106" s="166" t="str">
        <f t="shared" si="39"/>
        <v>NA</v>
      </c>
      <c r="U106" s="142">
        <f t="shared" si="32"/>
        <v>0</v>
      </c>
      <c r="V106" s="151"/>
      <c r="W106" s="167">
        <f t="shared" si="40"/>
        <v>0</v>
      </c>
      <c r="X106" s="151"/>
      <c r="Y106" s="167">
        <f t="shared" si="41"/>
        <v>0</v>
      </c>
      <c r="Z106" s="151"/>
      <c r="AA106" s="167">
        <f t="shared" si="42"/>
        <v>0</v>
      </c>
      <c r="AB106" s="151"/>
      <c r="AC106" s="167" t="str">
        <f t="shared" si="43"/>
        <v>NA</v>
      </c>
      <c r="AD106" s="143">
        <f t="shared" si="44"/>
        <v>0</v>
      </c>
      <c r="AE106" s="134"/>
      <c r="AF106" s="135">
        <f t="shared" si="45"/>
        <v>0</v>
      </c>
      <c r="AG106" s="134"/>
      <c r="AH106" s="135" t="str">
        <f t="shared" si="46"/>
        <v>NA</v>
      </c>
      <c r="AI106" s="134"/>
      <c r="AJ106" s="135" t="str">
        <f t="shared" si="47"/>
        <v>NA</v>
      </c>
      <c r="AK106" s="133">
        <f t="shared" si="48"/>
        <v>0</v>
      </c>
      <c r="AL106" s="133"/>
      <c r="AM106" s="182" t="str">
        <f t="shared" si="49"/>
        <v>NA</v>
      </c>
      <c r="AN106" s="133"/>
      <c r="AO106" s="182" t="str">
        <f t="shared" si="50"/>
        <v>NA</v>
      </c>
      <c r="AP106" s="133"/>
      <c r="AQ106" s="182" t="str">
        <f t="shared" si="51"/>
        <v>NA</v>
      </c>
      <c r="AR106" s="133">
        <f t="shared" si="52"/>
        <v>0</v>
      </c>
      <c r="AS106" s="134"/>
      <c r="AT106" s="135">
        <f t="shared" si="53"/>
        <v>0</v>
      </c>
      <c r="AU106" s="134"/>
      <c r="AV106" s="135" t="str">
        <f t="shared" si="54"/>
        <v>NA</v>
      </c>
      <c r="AW106" s="134"/>
      <c r="AX106" s="135" t="str">
        <f t="shared" si="55"/>
        <v>NA</v>
      </c>
      <c r="AY106" s="133">
        <f t="shared" si="56"/>
        <v>0</v>
      </c>
      <c r="AZ106" s="168">
        <f t="shared" si="57"/>
        <v>0</v>
      </c>
      <c r="BA106" s="173">
        <f t="shared" si="58"/>
        <v>0</v>
      </c>
    </row>
    <row r="107" spans="1:53" ht="20.100000000000001" hidden="1" customHeight="1" x14ac:dyDescent="0.25">
      <c r="A107" s="151">
        <f>IF((A106+1)&lt;=Outline!$E$12,A106+1,0)</f>
        <v>13</v>
      </c>
      <c r="B107" s="117"/>
      <c r="C107" s="118"/>
      <c r="D107" s="170"/>
      <c r="E107" s="165">
        <f t="shared" si="31"/>
        <v>0</v>
      </c>
      <c r="F107" s="151"/>
      <c r="G107" s="165">
        <f t="shared" si="33"/>
        <v>0</v>
      </c>
      <c r="H107" s="151"/>
      <c r="I107" s="165">
        <f t="shared" si="34"/>
        <v>0</v>
      </c>
      <c r="J107" s="151"/>
      <c r="K107" s="165" t="str">
        <f t="shared" si="35"/>
        <v>NA</v>
      </c>
      <c r="L107" s="141">
        <f t="shared" si="59"/>
        <v>0</v>
      </c>
      <c r="M107" s="152"/>
      <c r="N107" s="166">
        <f t="shared" si="36"/>
        <v>0</v>
      </c>
      <c r="O107" s="152"/>
      <c r="P107" s="166">
        <f t="shared" si="37"/>
        <v>0</v>
      </c>
      <c r="Q107" s="152"/>
      <c r="R107" s="166">
        <f t="shared" si="38"/>
        <v>0</v>
      </c>
      <c r="S107" s="152"/>
      <c r="T107" s="166" t="str">
        <f t="shared" si="39"/>
        <v>NA</v>
      </c>
      <c r="U107" s="142">
        <f t="shared" si="32"/>
        <v>0</v>
      </c>
      <c r="V107" s="151"/>
      <c r="W107" s="167">
        <f t="shared" si="40"/>
        <v>0</v>
      </c>
      <c r="X107" s="151"/>
      <c r="Y107" s="167">
        <f t="shared" si="41"/>
        <v>0</v>
      </c>
      <c r="Z107" s="151"/>
      <c r="AA107" s="167">
        <f t="shared" si="42"/>
        <v>0</v>
      </c>
      <c r="AB107" s="151"/>
      <c r="AC107" s="167" t="str">
        <f t="shared" si="43"/>
        <v>NA</v>
      </c>
      <c r="AD107" s="143">
        <f t="shared" si="44"/>
        <v>0</v>
      </c>
      <c r="AE107" s="134"/>
      <c r="AF107" s="135">
        <f t="shared" si="45"/>
        <v>0</v>
      </c>
      <c r="AG107" s="134"/>
      <c r="AH107" s="135" t="str">
        <f t="shared" si="46"/>
        <v>NA</v>
      </c>
      <c r="AI107" s="134"/>
      <c r="AJ107" s="135" t="str">
        <f t="shared" si="47"/>
        <v>NA</v>
      </c>
      <c r="AK107" s="133">
        <f t="shared" si="48"/>
        <v>0</v>
      </c>
      <c r="AL107" s="133"/>
      <c r="AM107" s="182" t="str">
        <f t="shared" si="49"/>
        <v>NA</v>
      </c>
      <c r="AN107" s="133"/>
      <c r="AO107" s="182" t="str">
        <f t="shared" si="50"/>
        <v>NA</v>
      </c>
      <c r="AP107" s="133"/>
      <c r="AQ107" s="182" t="str">
        <f t="shared" si="51"/>
        <v>NA</v>
      </c>
      <c r="AR107" s="133">
        <f t="shared" si="52"/>
        <v>0</v>
      </c>
      <c r="AS107" s="134"/>
      <c r="AT107" s="135">
        <f t="shared" si="53"/>
        <v>0</v>
      </c>
      <c r="AU107" s="134"/>
      <c r="AV107" s="135" t="str">
        <f t="shared" si="54"/>
        <v>NA</v>
      </c>
      <c r="AW107" s="134"/>
      <c r="AX107" s="135" t="str">
        <f t="shared" si="55"/>
        <v>NA</v>
      </c>
      <c r="AY107" s="133">
        <f t="shared" si="56"/>
        <v>0</v>
      </c>
      <c r="AZ107" s="168">
        <f t="shared" si="57"/>
        <v>0</v>
      </c>
      <c r="BA107" s="173">
        <f t="shared" si="58"/>
        <v>0</v>
      </c>
    </row>
    <row r="108" spans="1:53" ht="20.100000000000001" hidden="1" customHeight="1" x14ac:dyDescent="0.25">
      <c r="A108" s="151">
        <f>IF((A107+1)&lt;=Outline!$E$12,A107+1,0)</f>
        <v>14</v>
      </c>
      <c r="B108" s="117"/>
      <c r="C108" s="118"/>
      <c r="D108" s="170"/>
      <c r="E108" s="165">
        <f t="shared" si="31"/>
        <v>0</v>
      </c>
      <c r="F108" s="151"/>
      <c r="G108" s="165">
        <f t="shared" si="33"/>
        <v>0</v>
      </c>
      <c r="H108" s="151"/>
      <c r="I108" s="165">
        <f t="shared" si="34"/>
        <v>0</v>
      </c>
      <c r="J108" s="151"/>
      <c r="K108" s="165" t="str">
        <f t="shared" si="35"/>
        <v>NA</v>
      </c>
      <c r="L108" s="141">
        <f t="shared" si="59"/>
        <v>0</v>
      </c>
      <c r="M108" s="152"/>
      <c r="N108" s="166">
        <f t="shared" si="36"/>
        <v>0</v>
      </c>
      <c r="O108" s="152"/>
      <c r="P108" s="166">
        <f t="shared" si="37"/>
        <v>0</v>
      </c>
      <c r="Q108" s="152"/>
      <c r="R108" s="166">
        <f t="shared" si="38"/>
        <v>0</v>
      </c>
      <c r="S108" s="152"/>
      <c r="T108" s="166" t="str">
        <f t="shared" si="39"/>
        <v>NA</v>
      </c>
      <c r="U108" s="142">
        <f t="shared" si="32"/>
        <v>0</v>
      </c>
      <c r="V108" s="151"/>
      <c r="W108" s="167">
        <f t="shared" si="40"/>
        <v>0</v>
      </c>
      <c r="X108" s="151"/>
      <c r="Y108" s="167">
        <f t="shared" si="41"/>
        <v>0</v>
      </c>
      <c r="Z108" s="151"/>
      <c r="AA108" s="167">
        <f t="shared" si="42"/>
        <v>0</v>
      </c>
      <c r="AB108" s="151"/>
      <c r="AC108" s="167" t="str">
        <f t="shared" si="43"/>
        <v>NA</v>
      </c>
      <c r="AD108" s="143">
        <f t="shared" si="44"/>
        <v>0</v>
      </c>
      <c r="AE108" s="134"/>
      <c r="AF108" s="135">
        <f t="shared" si="45"/>
        <v>0</v>
      </c>
      <c r="AG108" s="134"/>
      <c r="AH108" s="135" t="str">
        <f t="shared" si="46"/>
        <v>NA</v>
      </c>
      <c r="AI108" s="134"/>
      <c r="AJ108" s="135" t="str">
        <f t="shared" si="47"/>
        <v>NA</v>
      </c>
      <c r="AK108" s="133">
        <f t="shared" si="48"/>
        <v>0</v>
      </c>
      <c r="AL108" s="133"/>
      <c r="AM108" s="182" t="str">
        <f t="shared" si="49"/>
        <v>NA</v>
      </c>
      <c r="AN108" s="133"/>
      <c r="AO108" s="182" t="str">
        <f t="shared" si="50"/>
        <v>NA</v>
      </c>
      <c r="AP108" s="133"/>
      <c r="AQ108" s="182" t="str">
        <f t="shared" si="51"/>
        <v>NA</v>
      </c>
      <c r="AR108" s="133">
        <f t="shared" si="52"/>
        <v>0</v>
      </c>
      <c r="AS108" s="134"/>
      <c r="AT108" s="135">
        <f t="shared" si="53"/>
        <v>0</v>
      </c>
      <c r="AU108" s="134"/>
      <c r="AV108" s="135" t="str">
        <f t="shared" si="54"/>
        <v>NA</v>
      </c>
      <c r="AW108" s="134"/>
      <c r="AX108" s="135" t="str">
        <f t="shared" si="55"/>
        <v>NA</v>
      </c>
      <c r="AY108" s="133">
        <f t="shared" si="56"/>
        <v>0</v>
      </c>
      <c r="AZ108" s="168">
        <f t="shared" si="57"/>
        <v>0</v>
      </c>
      <c r="BA108" s="173">
        <f t="shared" si="58"/>
        <v>0</v>
      </c>
    </row>
    <row r="109" spans="1:53" ht="20.100000000000001" hidden="1" customHeight="1" x14ac:dyDescent="0.25">
      <c r="A109" s="151">
        <f>IF((A108+1)&lt;=Outline!$E$12,A108+1,0)</f>
        <v>15</v>
      </c>
      <c r="B109" s="117"/>
      <c r="C109" s="118"/>
      <c r="D109" s="170"/>
      <c r="E109" s="165">
        <f t="shared" si="31"/>
        <v>0</v>
      </c>
      <c r="F109" s="151"/>
      <c r="G109" s="165">
        <f t="shared" si="33"/>
        <v>0</v>
      </c>
      <c r="H109" s="151"/>
      <c r="I109" s="165">
        <f t="shared" si="34"/>
        <v>0</v>
      </c>
      <c r="J109" s="151"/>
      <c r="K109" s="165" t="str">
        <f t="shared" si="35"/>
        <v>NA</v>
      </c>
      <c r="L109" s="141">
        <f t="shared" si="59"/>
        <v>0</v>
      </c>
      <c r="M109" s="152"/>
      <c r="N109" s="166">
        <f t="shared" si="36"/>
        <v>0</v>
      </c>
      <c r="O109" s="152"/>
      <c r="P109" s="166">
        <f t="shared" si="37"/>
        <v>0</v>
      </c>
      <c r="Q109" s="152"/>
      <c r="R109" s="166">
        <f t="shared" si="38"/>
        <v>0</v>
      </c>
      <c r="S109" s="152"/>
      <c r="T109" s="166" t="str">
        <f t="shared" si="39"/>
        <v>NA</v>
      </c>
      <c r="U109" s="142">
        <f t="shared" si="32"/>
        <v>0</v>
      </c>
      <c r="V109" s="151"/>
      <c r="W109" s="167">
        <f t="shared" si="40"/>
        <v>0</v>
      </c>
      <c r="X109" s="151"/>
      <c r="Y109" s="167">
        <f t="shared" si="41"/>
        <v>0</v>
      </c>
      <c r="Z109" s="151"/>
      <c r="AA109" s="167">
        <f t="shared" si="42"/>
        <v>0</v>
      </c>
      <c r="AB109" s="151"/>
      <c r="AC109" s="167" t="str">
        <f t="shared" si="43"/>
        <v>NA</v>
      </c>
      <c r="AD109" s="143">
        <f t="shared" si="44"/>
        <v>0</v>
      </c>
      <c r="AE109" s="134"/>
      <c r="AF109" s="135">
        <f t="shared" si="45"/>
        <v>0</v>
      </c>
      <c r="AG109" s="134"/>
      <c r="AH109" s="135" t="str">
        <f t="shared" si="46"/>
        <v>NA</v>
      </c>
      <c r="AI109" s="134"/>
      <c r="AJ109" s="135" t="str">
        <f t="shared" si="47"/>
        <v>NA</v>
      </c>
      <c r="AK109" s="133">
        <f t="shared" si="48"/>
        <v>0</v>
      </c>
      <c r="AL109" s="133"/>
      <c r="AM109" s="182" t="str">
        <f t="shared" si="49"/>
        <v>NA</v>
      </c>
      <c r="AN109" s="133"/>
      <c r="AO109" s="182" t="str">
        <f t="shared" si="50"/>
        <v>NA</v>
      </c>
      <c r="AP109" s="133"/>
      <c r="AQ109" s="182" t="str">
        <f t="shared" si="51"/>
        <v>NA</v>
      </c>
      <c r="AR109" s="133">
        <f t="shared" si="52"/>
        <v>0</v>
      </c>
      <c r="AS109" s="134"/>
      <c r="AT109" s="135">
        <f t="shared" si="53"/>
        <v>0</v>
      </c>
      <c r="AU109" s="134"/>
      <c r="AV109" s="135" t="str">
        <f t="shared" si="54"/>
        <v>NA</v>
      </c>
      <c r="AW109" s="134"/>
      <c r="AX109" s="135" t="str">
        <f t="shared" si="55"/>
        <v>NA</v>
      </c>
      <c r="AY109" s="133">
        <f t="shared" si="56"/>
        <v>0</v>
      </c>
      <c r="AZ109" s="168">
        <f t="shared" si="57"/>
        <v>0</v>
      </c>
      <c r="BA109" s="173">
        <f t="shared" si="58"/>
        <v>0</v>
      </c>
    </row>
    <row r="110" spans="1:53" ht="20.100000000000001" hidden="1" customHeight="1" x14ac:dyDescent="0.25">
      <c r="A110" s="151">
        <f>IF((A109+1)&lt;=Outline!$E$12,A109+1,0)</f>
        <v>16</v>
      </c>
      <c r="B110" s="117"/>
      <c r="C110" s="118"/>
      <c r="D110" s="170"/>
      <c r="E110" s="165">
        <f t="shared" si="31"/>
        <v>0</v>
      </c>
      <c r="F110" s="151"/>
      <c r="G110" s="165">
        <f t="shared" si="33"/>
        <v>0</v>
      </c>
      <c r="H110" s="151"/>
      <c r="I110" s="165">
        <f t="shared" si="34"/>
        <v>0</v>
      </c>
      <c r="J110" s="151"/>
      <c r="K110" s="165" t="str">
        <f t="shared" si="35"/>
        <v>NA</v>
      </c>
      <c r="L110" s="141">
        <f t="shared" si="59"/>
        <v>0</v>
      </c>
      <c r="M110" s="152"/>
      <c r="N110" s="166">
        <f t="shared" si="36"/>
        <v>0</v>
      </c>
      <c r="O110" s="152"/>
      <c r="P110" s="166">
        <f t="shared" si="37"/>
        <v>0</v>
      </c>
      <c r="Q110" s="152"/>
      <c r="R110" s="166">
        <f t="shared" si="38"/>
        <v>0</v>
      </c>
      <c r="S110" s="152"/>
      <c r="T110" s="166" t="str">
        <f t="shared" si="39"/>
        <v>NA</v>
      </c>
      <c r="U110" s="142">
        <f t="shared" si="32"/>
        <v>0</v>
      </c>
      <c r="V110" s="151"/>
      <c r="W110" s="167">
        <f t="shared" si="40"/>
        <v>0</v>
      </c>
      <c r="X110" s="151"/>
      <c r="Y110" s="167">
        <f t="shared" si="41"/>
        <v>0</v>
      </c>
      <c r="Z110" s="151"/>
      <c r="AA110" s="167">
        <f t="shared" si="42"/>
        <v>0</v>
      </c>
      <c r="AB110" s="151"/>
      <c r="AC110" s="167" t="str">
        <f t="shared" si="43"/>
        <v>NA</v>
      </c>
      <c r="AD110" s="143">
        <f t="shared" si="44"/>
        <v>0</v>
      </c>
      <c r="AE110" s="134"/>
      <c r="AF110" s="135">
        <f t="shared" si="45"/>
        <v>0</v>
      </c>
      <c r="AG110" s="134"/>
      <c r="AH110" s="135" t="str">
        <f t="shared" si="46"/>
        <v>NA</v>
      </c>
      <c r="AI110" s="134"/>
      <c r="AJ110" s="135" t="str">
        <f t="shared" si="47"/>
        <v>NA</v>
      </c>
      <c r="AK110" s="133">
        <f t="shared" si="48"/>
        <v>0</v>
      </c>
      <c r="AL110" s="133"/>
      <c r="AM110" s="182" t="str">
        <f t="shared" si="49"/>
        <v>NA</v>
      </c>
      <c r="AN110" s="133"/>
      <c r="AO110" s="182" t="str">
        <f t="shared" si="50"/>
        <v>NA</v>
      </c>
      <c r="AP110" s="133"/>
      <c r="AQ110" s="182" t="str">
        <f t="shared" si="51"/>
        <v>NA</v>
      </c>
      <c r="AR110" s="133">
        <f t="shared" si="52"/>
        <v>0</v>
      </c>
      <c r="AS110" s="134"/>
      <c r="AT110" s="135">
        <f t="shared" si="53"/>
        <v>0</v>
      </c>
      <c r="AU110" s="134"/>
      <c r="AV110" s="135" t="str">
        <f t="shared" si="54"/>
        <v>NA</v>
      </c>
      <c r="AW110" s="134"/>
      <c r="AX110" s="135" t="str">
        <f t="shared" si="55"/>
        <v>NA</v>
      </c>
      <c r="AY110" s="133">
        <f t="shared" si="56"/>
        <v>0</v>
      </c>
      <c r="AZ110" s="168">
        <f t="shared" si="57"/>
        <v>0</v>
      </c>
      <c r="BA110" s="173">
        <f t="shared" si="58"/>
        <v>0</v>
      </c>
    </row>
    <row r="111" spans="1:53" ht="20.100000000000001" hidden="1" customHeight="1" x14ac:dyDescent="0.25">
      <c r="A111" s="151">
        <f>IF((A110+1)&lt;=Outline!$E$12,A110+1,0)</f>
        <v>17</v>
      </c>
      <c r="B111" s="117"/>
      <c r="C111" s="118"/>
      <c r="D111" s="170"/>
      <c r="E111" s="165">
        <f t="shared" si="31"/>
        <v>0</v>
      </c>
      <c r="F111" s="151"/>
      <c r="G111" s="165">
        <f t="shared" si="33"/>
        <v>0</v>
      </c>
      <c r="H111" s="151"/>
      <c r="I111" s="165">
        <f t="shared" si="34"/>
        <v>0</v>
      </c>
      <c r="J111" s="151"/>
      <c r="K111" s="165" t="str">
        <f t="shared" si="35"/>
        <v>NA</v>
      </c>
      <c r="L111" s="141">
        <f t="shared" si="59"/>
        <v>0</v>
      </c>
      <c r="M111" s="152"/>
      <c r="N111" s="166">
        <f t="shared" si="36"/>
        <v>0</v>
      </c>
      <c r="O111" s="152"/>
      <c r="P111" s="166">
        <f t="shared" si="37"/>
        <v>0</v>
      </c>
      <c r="Q111" s="152"/>
      <c r="R111" s="166">
        <f t="shared" si="38"/>
        <v>0</v>
      </c>
      <c r="S111" s="152"/>
      <c r="T111" s="166" t="str">
        <f t="shared" si="39"/>
        <v>NA</v>
      </c>
      <c r="U111" s="142">
        <f t="shared" si="32"/>
        <v>0</v>
      </c>
      <c r="V111" s="151"/>
      <c r="W111" s="167">
        <f t="shared" si="40"/>
        <v>0</v>
      </c>
      <c r="X111" s="151"/>
      <c r="Y111" s="167">
        <f t="shared" si="41"/>
        <v>0</v>
      </c>
      <c r="Z111" s="151"/>
      <c r="AA111" s="167">
        <f t="shared" si="42"/>
        <v>0</v>
      </c>
      <c r="AB111" s="151"/>
      <c r="AC111" s="167" t="str">
        <f t="shared" si="43"/>
        <v>NA</v>
      </c>
      <c r="AD111" s="143">
        <f t="shared" si="44"/>
        <v>0</v>
      </c>
      <c r="AE111" s="134"/>
      <c r="AF111" s="135">
        <f t="shared" si="45"/>
        <v>0</v>
      </c>
      <c r="AG111" s="134"/>
      <c r="AH111" s="135" t="str">
        <f t="shared" si="46"/>
        <v>NA</v>
      </c>
      <c r="AI111" s="134"/>
      <c r="AJ111" s="135" t="str">
        <f t="shared" si="47"/>
        <v>NA</v>
      </c>
      <c r="AK111" s="133">
        <f t="shared" si="48"/>
        <v>0</v>
      </c>
      <c r="AL111" s="133"/>
      <c r="AM111" s="182" t="str">
        <f t="shared" si="49"/>
        <v>NA</v>
      </c>
      <c r="AN111" s="133"/>
      <c r="AO111" s="182" t="str">
        <f t="shared" si="50"/>
        <v>NA</v>
      </c>
      <c r="AP111" s="133"/>
      <c r="AQ111" s="182" t="str">
        <f t="shared" si="51"/>
        <v>NA</v>
      </c>
      <c r="AR111" s="133">
        <f t="shared" si="52"/>
        <v>0</v>
      </c>
      <c r="AS111" s="134"/>
      <c r="AT111" s="135">
        <f t="shared" si="53"/>
        <v>0</v>
      </c>
      <c r="AU111" s="134"/>
      <c r="AV111" s="135" t="str">
        <f t="shared" si="54"/>
        <v>NA</v>
      </c>
      <c r="AW111" s="134"/>
      <c r="AX111" s="135" t="str">
        <f t="shared" si="55"/>
        <v>NA</v>
      </c>
      <c r="AY111" s="133">
        <f t="shared" si="56"/>
        <v>0</v>
      </c>
      <c r="AZ111" s="168">
        <f t="shared" si="57"/>
        <v>0</v>
      </c>
      <c r="BA111" s="173">
        <f t="shared" si="58"/>
        <v>0</v>
      </c>
    </row>
    <row r="112" spans="1:53" ht="20.100000000000001" hidden="1" customHeight="1" x14ac:dyDescent="0.25">
      <c r="A112" s="151">
        <f>IF((A111+1)&lt;=Outline!$E$12,A111+1,0)</f>
        <v>18</v>
      </c>
      <c r="B112" s="117"/>
      <c r="C112" s="118"/>
      <c r="D112" s="170"/>
      <c r="E112" s="165">
        <f t="shared" si="31"/>
        <v>0</v>
      </c>
      <c r="F112" s="151"/>
      <c r="G112" s="165">
        <f t="shared" si="33"/>
        <v>0</v>
      </c>
      <c r="H112" s="151"/>
      <c r="I112" s="165">
        <f t="shared" si="34"/>
        <v>0</v>
      </c>
      <c r="J112" s="151"/>
      <c r="K112" s="165" t="str">
        <f t="shared" si="35"/>
        <v>NA</v>
      </c>
      <c r="L112" s="141">
        <f t="shared" si="59"/>
        <v>0</v>
      </c>
      <c r="M112" s="152"/>
      <c r="N112" s="166">
        <f t="shared" si="36"/>
        <v>0</v>
      </c>
      <c r="O112" s="152"/>
      <c r="P112" s="166">
        <f t="shared" si="37"/>
        <v>0</v>
      </c>
      <c r="Q112" s="152"/>
      <c r="R112" s="166">
        <f t="shared" si="38"/>
        <v>0</v>
      </c>
      <c r="S112" s="152"/>
      <c r="T112" s="166" t="str">
        <f t="shared" si="39"/>
        <v>NA</v>
      </c>
      <c r="U112" s="142">
        <f t="shared" si="32"/>
        <v>0</v>
      </c>
      <c r="V112" s="151"/>
      <c r="W112" s="167">
        <f t="shared" si="40"/>
        <v>0</v>
      </c>
      <c r="X112" s="151"/>
      <c r="Y112" s="167">
        <f t="shared" si="41"/>
        <v>0</v>
      </c>
      <c r="Z112" s="151"/>
      <c r="AA112" s="167">
        <f t="shared" si="42"/>
        <v>0</v>
      </c>
      <c r="AB112" s="151"/>
      <c r="AC112" s="167" t="str">
        <f t="shared" si="43"/>
        <v>NA</v>
      </c>
      <c r="AD112" s="143">
        <f t="shared" si="44"/>
        <v>0</v>
      </c>
      <c r="AE112" s="134"/>
      <c r="AF112" s="135">
        <f t="shared" si="45"/>
        <v>0</v>
      </c>
      <c r="AG112" s="134"/>
      <c r="AH112" s="135" t="str">
        <f t="shared" si="46"/>
        <v>NA</v>
      </c>
      <c r="AI112" s="134"/>
      <c r="AJ112" s="135" t="str">
        <f t="shared" si="47"/>
        <v>NA</v>
      </c>
      <c r="AK112" s="133">
        <f t="shared" si="48"/>
        <v>0</v>
      </c>
      <c r="AL112" s="133"/>
      <c r="AM112" s="182" t="str">
        <f t="shared" si="49"/>
        <v>NA</v>
      </c>
      <c r="AN112" s="133"/>
      <c r="AO112" s="182" t="str">
        <f t="shared" si="50"/>
        <v>NA</v>
      </c>
      <c r="AP112" s="133"/>
      <c r="AQ112" s="182" t="str">
        <f t="shared" si="51"/>
        <v>NA</v>
      </c>
      <c r="AR112" s="133">
        <f t="shared" si="52"/>
        <v>0</v>
      </c>
      <c r="AS112" s="134"/>
      <c r="AT112" s="135">
        <f t="shared" si="53"/>
        <v>0</v>
      </c>
      <c r="AU112" s="134"/>
      <c r="AV112" s="135" t="str">
        <f t="shared" si="54"/>
        <v>NA</v>
      </c>
      <c r="AW112" s="134"/>
      <c r="AX112" s="135" t="str">
        <f t="shared" si="55"/>
        <v>NA</v>
      </c>
      <c r="AY112" s="133">
        <f t="shared" si="56"/>
        <v>0</v>
      </c>
      <c r="AZ112" s="168">
        <f t="shared" si="57"/>
        <v>0</v>
      </c>
      <c r="BA112" s="173">
        <f t="shared" si="58"/>
        <v>0</v>
      </c>
    </row>
    <row r="113" spans="1:53" ht="20.100000000000001" hidden="1" customHeight="1" x14ac:dyDescent="0.25">
      <c r="A113" s="151">
        <f>IF((A112+1)&lt;=Outline!$E$12,A112+1,0)</f>
        <v>19</v>
      </c>
      <c r="B113" s="117"/>
      <c r="C113" s="118"/>
      <c r="D113" s="170"/>
      <c r="E113" s="165">
        <f t="shared" si="31"/>
        <v>0</v>
      </c>
      <c r="F113" s="151"/>
      <c r="G113" s="165">
        <f t="shared" si="33"/>
        <v>0</v>
      </c>
      <c r="H113" s="151"/>
      <c r="I113" s="165">
        <f t="shared" si="34"/>
        <v>0</v>
      </c>
      <c r="J113" s="151"/>
      <c r="K113" s="165" t="str">
        <f t="shared" si="35"/>
        <v>NA</v>
      </c>
      <c r="L113" s="141">
        <f t="shared" si="59"/>
        <v>0</v>
      </c>
      <c r="M113" s="152"/>
      <c r="N113" s="166">
        <f t="shared" si="36"/>
        <v>0</v>
      </c>
      <c r="O113" s="152"/>
      <c r="P113" s="166">
        <f t="shared" si="37"/>
        <v>0</v>
      </c>
      <c r="Q113" s="152"/>
      <c r="R113" s="166">
        <f t="shared" si="38"/>
        <v>0</v>
      </c>
      <c r="S113" s="152"/>
      <c r="T113" s="166" t="str">
        <f t="shared" si="39"/>
        <v>NA</v>
      </c>
      <c r="U113" s="142">
        <f t="shared" si="32"/>
        <v>0</v>
      </c>
      <c r="V113" s="151"/>
      <c r="W113" s="167">
        <f t="shared" si="40"/>
        <v>0</v>
      </c>
      <c r="X113" s="151"/>
      <c r="Y113" s="167">
        <f t="shared" si="41"/>
        <v>0</v>
      </c>
      <c r="Z113" s="151"/>
      <c r="AA113" s="167">
        <f t="shared" si="42"/>
        <v>0</v>
      </c>
      <c r="AB113" s="151"/>
      <c r="AC113" s="167" t="str">
        <f t="shared" si="43"/>
        <v>NA</v>
      </c>
      <c r="AD113" s="143">
        <f t="shared" si="44"/>
        <v>0</v>
      </c>
      <c r="AE113" s="134"/>
      <c r="AF113" s="135">
        <f t="shared" si="45"/>
        <v>0</v>
      </c>
      <c r="AG113" s="134"/>
      <c r="AH113" s="135" t="str">
        <f t="shared" si="46"/>
        <v>NA</v>
      </c>
      <c r="AI113" s="134"/>
      <c r="AJ113" s="135" t="str">
        <f t="shared" si="47"/>
        <v>NA</v>
      </c>
      <c r="AK113" s="133">
        <f t="shared" si="48"/>
        <v>0</v>
      </c>
      <c r="AL113" s="133"/>
      <c r="AM113" s="182" t="str">
        <f t="shared" si="49"/>
        <v>NA</v>
      </c>
      <c r="AN113" s="133"/>
      <c r="AO113" s="182" t="str">
        <f t="shared" si="50"/>
        <v>NA</v>
      </c>
      <c r="AP113" s="133"/>
      <c r="AQ113" s="182" t="str">
        <f t="shared" si="51"/>
        <v>NA</v>
      </c>
      <c r="AR113" s="133">
        <f t="shared" si="52"/>
        <v>0</v>
      </c>
      <c r="AS113" s="134"/>
      <c r="AT113" s="135">
        <f t="shared" si="53"/>
        <v>0</v>
      </c>
      <c r="AU113" s="134"/>
      <c r="AV113" s="135" t="str">
        <f t="shared" si="54"/>
        <v>NA</v>
      </c>
      <c r="AW113" s="134"/>
      <c r="AX113" s="135" t="str">
        <f t="shared" si="55"/>
        <v>NA</v>
      </c>
      <c r="AY113" s="133">
        <f t="shared" si="56"/>
        <v>0</v>
      </c>
      <c r="AZ113" s="168">
        <f t="shared" si="57"/>
        <v>0</v>
      </c>
      <c r="BA113" s="173">
        <f t="shared" si="58"/>
        <v>0</v>
      </c>
    </row>
    <row r="114" spans="1:53" ht="20.100000000000001" hidden="1" customHeight="1" x14ac:dyDescent="0.25">
      <c r="A114" s="151">
        <f>IF((A113+1)&lt;=Outline!$E$12,A113+1,0)</f>
        <v>20</v>
      </c>
      <c r="B114" s="117"/>
      <c r="C114" s="118"/>
      <c r="D114" s="170"/>
      <c r="E114" s="165">
        <f t="shared" si="31"/>
        <v>0</v>
      </c>
      <c r="F114" s="151"/>
      <c r="G114" s="165">
        <f t="shared" si="33"/>
        <v>0</v>
      </c>
      <c r="H114" s="151"/>
      <c r="I114" s="165">
        <f t="shared" si="34"/>
        <v>0</v>
      </c>
      <c r="J114" s="151"/>
      <c r="K114" s="165" t="str">
        <f t="shared" si="35"/>
        <v>NA</v>
      </c>
      <c r="L114" s="141">
        <f t="shared" si="59"/>
        <v>0</v>
      </c>
      <c r="M114" s="152"/>
      <c r="N114" s="166">
        <f t="shared" si="36"/>
        <v>0</v>
      </c>
      <c r="O114" s="152"/>
      <c r="P114" s="166">
        <f t="shared" si="37"/>
        <v>0</v>
      </c>
      <c r="Q114" s="152"/>
      <c r="R114" s="166">
        <f t="shared" si="38"/>
        <v>0</v>
      </c>
      <c r="S114" s="152"/>
      <c r="T114" s="166" t="str">
        <f t="shared" si="39"/>
        <v>NA</v>
      </c>
      <c r="U114" s="142">
        <f t="shared" si="32"/>
        <v>0</v>
      </c>
      <c r="V114" s="151"/>
      <c r="W114" s="167">
        <f t="shared" si="40"/>
        <v>0</v>
      </c>
      <c r="X114" s="151"/>
      <c r="Y114" s="167">
        <f t="shared" si="41"/>
        <v>0</v>
      </c>
      <c r="Z114" s="151"/>
      <c r="AA114" s="167">
        <f t="shared" si="42"/>
        <v>0</v>
      </c>
      <c r="AB114" s="151"/>
      <c r="AC114" s="167" t="str">
        <f t="shared" si="43"/>
        <v>NA</v>
      </c>
      <c r="AD114" s="143">
        <f t="shared" si="44"/>
        <v>0</v>
      </c>
      <c r="AE114" s="134"/>
      <c r="AF114" s="135">
        <f t="shared" si="45"/>
        <v>0</v>
      </c>
      <c r="AG114" s="134"/>
      <c r="AH114" s="135" t="str">
        <f t="shared" si="46"/>
        <v>NA</v>
      </c>
      <c r="AI114" s="134"/>
      <c r="AJ114" s="135" t="str">
        <f t="shared" si="47"/>
        <v>NA</v>
      </c>
      <c r="AK114" s="133">
        <f t="shared" si="48"/>
        <v>0</v>
      </c>
      <c r="AL114" s="133"/>
      <c r="AM114" s="182" t="str">
        <f t="shared" si="49"/>
        <v>NA</v>
      </c>
      <c r="AN114" s="133"/>
      <c r="AO114" s="182" t="str">
        <f t="shared" si="50"/>
        <v>NA</v>
      </c>
      <c r="AP114" s="133"/>
      <c r="AQ114" s="182" t="str">
        <f t="shared" si="51"/>
        <v>NA</v>
      </c>
      <c r="AR114" s="133">
        <f t="shared" si="52"/>
        <v>0</v>
      </c>
      <c r="AS114" s="134"/>
      <c r="AT114" s="135">
        <f t="shared" si="53"/>
        <v>0</v>
      </c>
      <c r="AU114" s="134"/>
      <c r="AV114" s="135" t="str">
        <f t="shared" si="54"/>
        <v>NA</v>
      </c>
      <c r="AW114" s="134"/>
      <c r="AX114" s="135" t="str">
        <f t="shared" si="55"/>
        <v>NA</v>
      </c>
      <c r="AY114" s="133">
        <f t="shared" si="56"/>
        <v>0</v>
      </c>
      <c r="AZ114" s="168">
        <f t="shared" si="57"/>
        <v>0</v>
      </c>
      <c r="BA114" s="173">
        <f t="shared" si="58"/>
        <v>0</v>
      </c>
    </row>
    <row r="115" spans="1:53" ht="20.100000000000001" hidden="1" customHeight="1" x14ac:dyDescent="0.25">
      <c r="A115" s="151">
        <f>IF((A114+1)&lt;=Outline!$E$12,A114+1,0)</f>
        <v>21</v>
      </c>
      <c r="B115" s="117"/>
      <c r="C115" s="118"/>
      <c r="D115" s="170"/>
      <c r="E115" s="165">
        <f t="shared" si="31"/>
        <v>0</v>
      </c>
      <c r="F115" s="151"/>
      <c r="G115" s="165">
        <f t="shared" si="33"/>
        <v>0</v>
      </c>
      <c r="H115" s="151"/>
      <c r="I115" s="165">
        <f t="shared" si="34"/>
        <v>0</v>
      </c>
      <c r="J115" s="151"/>
      <c r="K115" s="165" t="str">
        <f t="shared" si="35"/>
        <v>NA</v>
      </c>
      <c r="L115" s="141">
        <f t="shared" si="59"/>
        <v>0</v>
      </c>
      <c r="M115" s="152"/>
      <c r="N115" s="166">
        <f t="shared" si="36"/>
        <v>0</v>
      </c>
      <c r="O115" s="152"/>
      <c r="P115" s="166">
        <f t="shared" si="37"/>
        <v>0</v>
      </c>
      <c r="Q115" s="152"/>
      <c r="R115" s="166">
        <f t="shared" si="38"/>
        <v>0</v>
      </c>
      <c r="S115" s="152"/>
      <c r="T115" s="166" t="str">
        <f t="shared" si="39"/>
        <v>NA</v>
      </c>
      <c r="U115" s="142">
        <f t="shared" si="32"/>
        <v>0</v>
      </c>
      <c r="V115" s="151"/>
      <c r="W115" s="167">
        <f t="shared" si="40"/>
        <v>0</v>
      </c>
      <c r="X115" s="151"/>
      <c r="Y115" s="167">
        <f t="shared" si="41"/>
        <v>0</v>
      </c>
      <c r="Z115" s="151"/>
      <c r="AA115" s="167">
        <f t="shared" si="42"/>
        <v>0</v>
      </c>
      <c r="AB115" s="151"/>
      <c r="AC115" s="167" t="str">
        <f t="shared" si="43"/>
        <v>NA</v>
      </c>
      <c r="AD115" s="143">
        <f t="shared" si="44"/>
        <v>0</v>
      </c>
      <c r="AE115" s="134"/>
      <c r="AF115" s="135">
        <f t="shared" si="45"/>
        <v>0</v>
      </c>
      <c r="AG115" s="134"/>
      <c r="AH115" s="135" t="str">
        <f t="shared" si="46"/>
        <v>NA</v>
      </c>
      <c r="AI115" s="134"/>
      <c r="AJ115" s="135" t="str">
        <f t="shared" si="47"/>
        <v>NA</v>
      </c>
      <c r="AK115" s="133">
        <f t="shared" si="48"/>
        <v>0</v>
      </c>
      <c r="AL115" s="133"/>
      <c r="AM115" s="182" t="str">
        <f t="shared" si="49"/>
        <v>NA</v>
      </c>
      <c r="AN115" s="133"/>
      <c r="AO115" s="182" t="str">
        <f t="shared" si="50"/>
        <v>NA</v>
      </c>
      <c r="AP115" s="133"/>
      <c r="AQ115" s="182" t="str">
        <f t="shared" si="51"/>
        <v>NA</v>
      </c>
      <c r="AR115" s="133">
        <f t="shared" si="52"/>
        <v>0</v>
      </c>
      <c r="AS115" s="134"/>
      <c r="AT115" s="135">
        <f t="shared" si="53"/>
        <v>0</v>
      </c>
      <c r="AU115" s="134"/>
      <c r="AV115" s="135" t="str">
        <f t="shared" si="54"/>
        <v>NA</v>
      </c>
      <c r="AW115" s="134"/>
      <c r="AX115" s="135" t="str">
        <f t="shared" si="55"/>
        <v>NA</v>
      </c>
      <c r="AY115" s="133">
        <f t="shared" si="56"/>
        <v>0</v>
      </c>
      <c r="AZ115" s="168">
        <f t="shared" si="57"/>
        <v>0</v>
      </c>
      <c r="BA115" s="173">
        <f t="shared" si="58"/>
        <v>0</v>
      </c>
    </row>
    <row r="116" spans="1:53" ht="20.100000000000001" hidden="1" customHeight="1" x14ac:dyDescent="0.25">
      <c r="A116" s="151">
        <f>IF((A115+1)&lt;=Outline!$E$12,A115+1,0)</f>
        <v>22</v>
      </c>
      <c r="B116" s="117"/>
      <c r="C116" s="118"/>
      <c r="D116" s="170"/>
      <c r="E116" s="165">
        <f t="shared" si="31"/>
        <v>0</v>
      </c>
      <c r="F116" s="151"/>
      <c r="G116" s="165">
        <f t="shared" si="33"/>
        <v>0</v>
      </c>
      <c r="H116" s="151"/>
      <c r="I116" s="165">
        <f t="shared" si="34"/>
        <v>0</v>
      </c>
      <c r="J116" s="151"/>
      <c r="K116" s="165" t="str">
        <f t="shared" si="35"/>
        <v>NA</v>
      </c>
      <c r="L116" s="141">
        <f t="shared" si="59"/>
        <v>0</v>
      </c>
      <c r="M116" s="152"/>
      <c r="N116" s="166">
        <f t="shared" si="36"/>
        <v>0</v>
      </c>
      <c r="O116" s="152"/>
      <c r="P116" s="166">
        <f t="shared" si="37"/>
        <v>0</v>
      </c>
      <c r="Q116" s="152"/>
      <c r="R116" s="166">
        <f t="shared" si="38"/>
        <v>0</v>
      </c>
      <c r="S116" s="152"/>
      <c r="T116" s="166" t="str">
        <f t="shared" si="39"/>
        <v>NA</v>
      </c>
      <c r="U116" s="142">
        <f t="shared" si="32"/>
        <v>0</v>
      </c>
      <c r="V116" s="151"/>
      <c r="W116" s="167">
        <f t="shared" si="40"/>
        <v>0</v>
      </c>
      <c r="X116" s="151"/>
      <c r="Y116" s="167">
        <f t="shared" si="41"/>
        <v>0</v>
      </c>
      <c r="Z116" s="151"/>
      <c r="AA116" s="167">
        <f t="shared" si="42"/>
        <v>0</v>
      </c>
      <c r="AB116" s="151"/>
      <c r="AC116" s="167" t="str">
        <f t="shared" si="43"/>
        <v>NA</v>
      </c>
      <c r="AD116" s="143">
        <f t="shared" si="44"/>
        <v>0</v>
      </c>
      <c r="AE116" s="134"/>
      <c r="AF116" s="135">
        <f t="shared" si="45"/>
        <v>0</v>
      </c>
      <c r="AG116" s="134"/>
      <c r="AH116" s="135" t="str">
        <f t="shared" si="46"/>
        <v>NA</v>
      </c>
      <c r="AI116" s="134"/>
      <c r="AJ116" s="135" t="str">
        <f t="shared" si="47"/>
        <v>NA</v>
      </c>
      <c r="AK116" s="133">
        <f t="shared" si="48"/>
        <v>0</v>
      </c>
      <c r="AL116" s="133"/>
      <c r="AM116" s="182" t="str">
        <f t="shared" si="49"/>
        <v>NA</v>
      </c>
      <c r="AN116" s="133"/>
      <c r="AO116" s="182" t="str">
        <f t="shared" si="50"/>
        <v>NA</v>
      </c>
      <c r="AP116" s="133"/>
      <c r="AQ116" s="182" t="str">
        <f t="shared" si="51"/>
        <v>NA</v>
      </c>
      <c r="AR116" s="133">
        <f t="shared" si="52"/>
        <v>0</v>
      </c>
      <c r="AS116" s="134"/>
      <c r="AT116" s="135">
        <f t="shared" si="53"/>
        <v>0</v>
      </c>
      <c r="AU116" s="134"/>
      <c r="AV116" s="135" t="str">
        <f t="shared" si="54"/>
        <v>NA</v>
      </c>
      <c r="AW116" s="134"/>
      <c r="AX116" s="135" t="str">
        <f t="shared" si="55"/>
        <v>NA</v>
      </c>
      <c r="AY116" s="133">
        <f t="shared" si="56"/>
        <v>0</v>
      </c>
      <c r="AZ116" s="168">
        <f t="shared" si="57"/>
        <v>0</v>
      </c>
      <c r="BA116" s="173">
        <f t="shared" si="58"/>
        <v>0</v>
      </c>
    </row>
    <row r="117" spans="1:53" ht="20.100000000000001" hidden="1" customHeight="1" x14ac:dyDescent="0.25">
      <c r="A117" s="151">
        <f>IF((A116+1)&lt;=Outline!$E$12,A116+1,0)</f>
        <v>23</v>
      </c>
      <c r="B117" s="117"/>
      <c r="C117" s="118"/>
      <c r="D117" s="170"/>
      <c r="E117" s="165">
        <f t="shared" si="31"/>
        <v>0</v>
      </c>
      <c r="F117" s="151"/>
      <c r="G117" s="165">
        <f t="shared" si="33"/>
        <v>0</v>
      </c>
      <c r="H117" s="151"/>
      <c r="I117" s="165">
        <f t="shared" si="34"/>
        <v>0</v>
      </c>
      <c r="J117" s="151"/>
      <c r="K117" s="165" t="str">
        <f t="shared" si="35"/>
        <v>NA</v>
      </c>
      <c r="L117" s="141">
        <f t="shared" si="59"/>
        <v>0</v>
      </c>
      <c r="M117" s="152"/>
      <c r="N117" s="166">
        <f t="shared" si="36"/>
        <v>0</v>
      </c>
      <c r="O117" s="152"/>
      <c r="P117" s="166">
        <f t="shared" si="37"/>
        <v>0</v>
      </c>
      <c r="Q117" s="152"/>
      <c r="R117" s="166">
        <f t="shared" si="38"/>
        <v>0</v>
      </c>
      <c r="S117" s="152"/>
      <c r="T117" s="166" t="str">
        <f t="shared" si="39"/>
        <v>NA</v>
      </c>
      <c r="U117" s="142">
        <f t="shared" si="32"/>
        <v>0</v>
      </c>
      <c r="V117" s="151"/>
      <c r="W117" s="167">
        <f t="shared" si="40"/>
        <v>0</v>
      </c>
      <c r="X117" s="151"/>
      <c r="Y117" s="167">
        <f t="shared" si="41"/>
        <v>0</v>
      </c>
      <c r="Z117" s="151"/>
      <c r="AA117" s="167">
        <f t="shared" si="42"/>
        <v>0</v>
      </c>
      <c r="AB117" s="151"/>
      <c r="AC117" s="167" t="str">
        <f t="shared" si="43"/>
        <v>NA</v>
      </c>
      <c r="AD117" s="143">
        <f t="shared" si="44"/>
        <v>0</v>
      </c>
      <c r="AE117" s="134"/>
      <c r="AF117" s="135">
        <f t="shared" si="45"/>
        <v>0</v>
      </c>
      <c r="AG117" s="134"/>
      <c r="AH117" s="135" t="str">
        <f t="shared" si="46"/>
        <v>NA</v>
      </c>
      <c r="AI117" s="134"/>
      <c r="AJ117" s="135" t="str">
        <f t="shared" si="47"/>
        <v>NA</v>
      </c>
      <c r="AK117" s="133">
        <f t="shared" si="48"/>
        <v>0</v>
      </c>
      <c r="AL117" s="133"/>
      <c r="AM117" s="182" t="str">
        <f t="shared" si="49"/>
        <v>NA</v>
      </c>
      <c r="AN117" s="133"/>
      <c r="AO117" s="182" t="str">
        <f t="shared" si="50"/>
        <v>NA</v>
      </c>
      <c r="AP117" s="133"/>
      <c r="AQ117" s="182" t="str">
        <f t="shared" si="51"/>
        <v>NA</v>
      </c>
      <c r="AR117" s="133">
        <f t="shared" si="52"/>
        <v>0</v>
      </c>
      <c r="AS117" s="134"/>
      <c r="AT117" s="135">
        <f t="shared" si="53"/>
        <v>0</v>
      </c>
      <c r="AU117" s="134"/>
      <c r="AV117" s="135" t="str">
        <f t="shared" si="54"/>
        <v>NA</v>
      </c>
      <c r="AW117" s="134"/>
      <c r="AX117" s="135" t="str">
        <f t="shared" si="55"/>
        <v>NA</v>
      </c>
      <c r="AY117" s="133">
        <f t="shared" si="56"/>
        <v>0</v>
      </c>
      <c r="AZ117" s="168">
        <f t="shared" si="57"/>
        <v>0</v>
      </c>
      <c r="BA117" s="189">
        <f t="shared" si="58"/>
        <v>0</v>
      </c>
    </row>
    <row r="118" spans="1:53" ht="20.100000000000001" hidden="1" customHeight="1" x14ac:dyDescent="0.25">
      <c r="A118" s="151">
        <f>IF((A117+1)&lt;=Outline!$E$12,A117+1,0)</f>
        <v>24</v>
      </c>
      <c r="B118" s="117"/>
      <c r="C118" s="118"/>
      <c r="D118" s="170"/>
      <c r="E118" s="165">
        <f t="shared" si="31"/>
        <v>0</v>
      </c>
      <c r="F118" s="151"/>
      <c r="G118" s="165">
        <f t="shared" si="33"/>
        <v>0</v>
      </c>
      <c r="H118" s="151"/>
      <c r="I118" s="165">
        <f t="shared" si="34"/>
        <v>0</v>
      </c>
      <c r="J118" s="151"/>
      <c r="K118" s="165" t="str">
        <f t="shared" si="35"/>
        <v>NA</v>
      </c>
      <c r="L118" s="141">
        <f t="shared" si="59"/>
        <v>0</v>
      </c>
      <c r="M118" s="152"/>
      <c r="N118" s="166">
        <f t="shared" si="36"/>
        <v>0</v>
      </c>
      <c r="O118" s="152"/>
      <c r="P118" s="166">
        <f t="shared" si="37"/>
        <v>0</v>
      </c>
      <c r="Q118" s="152"/>
      <c r="R118" s="166">
        <f t="shared" si="38"/>
        <v>0</v>
      </c>
      <c r="S118" s="152"/>
      <c r="T118" s="166" t="str">
        <f t="shared" si="39"/>
        <v>NA</v>
      </c>
      <c r="U118" s="142">
        <f t="shared" si="32"/>
        <v>0</v>
      </c>
      <c r="V118" s="151"/>
      <c r="W118" s="167">
        <f t="shared" si="40"/>
        <v>0</v>
      </c>
      <c r="X118" s="151"/>
      <c r="Y118" s="167">
        <f t="shared" si="41"/>
        <v>0</v>
      </c>
      <c r="Z118" s="151"/>
      <c r="AA118" s="167">
        <f t="shared" si="42"/>
        <v>0</v>
      </c>
      <c r="AB118" s="151"/>
      <c r="AC118" s="167" t="str">
        <f t="shared" si="43"/>
        <v>NA</v>
      </c>
      <c r="AD118" s="143">
        <f t="shared" si="44"/>
        <v>0</v>
      </c>
      <c r="AE118" s="134"/>
      <c r="AF118" s="135">
        <f t="shared" si="45"/>
        <v>0</v>
      </c>
      <c r="AG118" s="134"/>
      <c r="AH118" s="135" t="str">
        <f t="shared" si="46"/>
        <v>NA</v>
      </c>
      <c r="AI118" s="134"/>
      <c r="AJ118" s="135" t="str">
        <f t="shared" si="47"/>
        <v>NA</v>
      </c>
      <c r="AK118" s="133">
        <f t="shared" si="48"/>
        <v>0</v>
      </c>
      <c r="AL118" s="133"/>
      <c r="AM118" s="182" t="str">
        <f t="shared" si="49"/>
        <v>NA</v>
      </c>
      <c r="AN118" s="133"/>
      <c r="AO118" s="182" t="str">
        <f t="shared" si="50"/>
        <v>NA</v>
      </c>
      <c r="AP118" s="133"/>
      <c r="AQ118" s="182" t="str">
        <f t="shared" si="51"/>
        <v>NA</v>
      </c>
      <c r="AR118" s="133">
        <f t="shared" si="52"/>
        <v>0</v>
      </c>
      <c r="AS118" s="134"/>
      <c r="AT118" s="135">
        <f t="shared" si="53"/>
        <v>0</v>
      </c>
      <c r="AU118" s="134"/>
      <c r="AV118" s="135" t="str">
        <f t="shared" si="54"/>
        <v>NA</v>
      </c>
      <c r="AW118" s="134"/>
      <c r="AX118" s="135" t="str">
        <f t="shared" si="55"/>
        <v>NA</v>
      </c>
      <c r="AY118" s="133">
        <f t="shared" si="56"/>
        <v>0</v>
      </c>
      <c r="AZ118" s="190">
        <f t="shared" si="57"/>
        <v>0</v>
      </c>
      <c r="BA118" s="172">
        <f t="shared" si="58"/>
        <v>0</v>
      </c>
    </row>
    <row r="119" spans="1:53" ht="20.100000000000001" hidden="1" customHeight="1" x14ac:dyDescent="0.25">
      <c r="A119" s="151">
        <f>IF((A118+1)&lt;=Outline!$E$12,A118+1,0)</f>
        <v>25</v>
      </c>
      <c r="BA119" s="174"/>
    </row>
    <row r="120" spans="1:53" ht="20.100000000000001" hidden="1" customHeight="1" x14ac:dyDescent="0.25">
      <c r="A120" s="151">
        <f>IF((A119+1)&lt;=Outline!$E$12,A119+1,0)</f>
        <v>26</v>
      </c>
    </row>
    <row r="121" spans="1:53" ht="20.100000000000001" hidden="1" customHeight="1" x14ac:dyDescent="0.25">
      <c r="A121" s="151">
        <f>IF((A120+1)&lt;=Outline!$E$12,A120+1,0)</f>
        <v>27</v>
      </c>
    </row>
    <row r="122" spans="1:53" ht="20.100000000000001" hidden="1" customHeight="1" x14ac:dyDescent="0.25">
      <c r="A122" s="151">
        <f>IF((A121+1)&lt;=Outline!$E$12,A121+1,0)</f>
        <v>28</v>
      </c>
    </row>
    <row r="123" spans="1:53" ht="20.100000000000001" hidden="1" customHeight="1" x14ac:dyDescent="0.25">
      <c r="A123" s="151">
        <f>IF((A122+1)&lt;=Outline!$E$12,A122+1,0)</f>
        <v>29</v>
      </c>
    </row>
    <row r="124" spans="1:53" ht="20.100000000000001" hidden="1" customHeight="1" x14ac:dyDescent="0.25">
      <c r="A124" s="151">
        <f>IF((A123+1)&lt;=Outline!$E$12,A123+1,0)</f>
        <v>30</v>
      </c>
    </row>
    <row r="125" spans="1:53" ht="20.100000000000001" hidden="1" customHeight="1" x14ac:dyDescent="0.25">
      <c r="A125" s="151">
        <f>IF((A124+1)&lt;=Outline!$E$12,A124+1,0)</f>
        <v>31</v>
      </c>
    </row>
    <row r="126" spans="1:53" ht="20.100000000000001" hidden="1" customHeight="1" x14ac:dyDescent="0.25">
      <c r="A126" s="151">
        <f>IF((A125+1)&lt;=Outline!$E$12,A125+1,0)</f>
        <v>32</v>
      </c>
    </row>
    <row r="127" spans="1:53" ht="20.100000000000001" hidden="1" customHeight="1" x14ac:dyDescent="0.25">
      <c r="A127" s="151">
        <f>IF((A126+1)&lt;=Outline!$E$12,A126+1,0)</f>
        <v>33</v>
      </c>
    </row>
    <row r="128" spans="1:53" ht="20.100000000000001" hidden="1" customHeight="1" x14ac:dyDescent="0.25">
      <c r="A128" s="151">
        <f>IF((A127+1)&lt;=Outline!$E$12,A127+1,0)</f>
        <v>34</v>
      </c>
    </row>
    <row r="129" spans="1:1" ht="20.100000000000001" hidden="1" customHeight="1" x14ac:dyDescent="0.25">
      <c r="A129" s="151">
        <f>IF((A128+1)&lt;=Outline!$E$12,A128+1,0)</f>
        <v>35</v>
      </c>
    </row>
    <row r="130" spans="1:1" ht="20.100000000000001" hidden="1" customHeight="1" x14ac:dyDescent="0.25">
      <c r="A130" s="151">
        <f>IF((A129+1)&lt;=Outline!$E$12,A129+1,0)</f>
        <v>36</v>
      </c>
    </row>
    <row r="131" spans="1:1" ht="20.100000000000001" hidden="1" customHeight="1" x14ac:dyDescent="0.25">
      <c r="A131" s="151">
        <f>IF((A130+1)&lt;=Outline!$E$12,A130+1,0)</f>
        <v>37</v>
      </c>
    </row>
    <row r="132" spans="1:1" ht="20.100000000000001" hidden="1" customHeight="1" x14ac:dyDescent="0.25">
      <c r="A132" s="151">
        <f>IF((A131+1)&lt;=Outline!$E$12,A131+1,0)</f>
        <v>38</v>
      </c>
    </row>
    <row r="133" spans="1:1" ht="20.100000000000001" hidden="1" customHeight="1" x14ac:dyDescent="0.25">
      <c r="A133" s="151">
        <f>IF((A132+1)&lt;=Outline!$E$12,A132+1,0)</f>
        <v>39</v>
      </c>
    </row>
    <row r="134" spans="1:1" ht="20.100000000000001" hidden="1" customHeight="1" x14ac:dyDescent="0.25">
      <c r="A134" s="151">
        <f>IF((A133+1)&lt;=Outline!$E$12,A133+1,0)</f>
        <v>40</v>
      </c>
    </row>
    <row r="135" spans="1:1" ht="20.100000000000001" hidden="1" customHeight="1" x14ac:dyDescent="0.25">
      <c r="A135" s="151">
        <f>IF((A134+1)&lt;=Outline!$E$12,A134+1,0)</f>
        <v>41</v>
      </c>
    </row>
    <row r="136" spans="1:1" ht="20.100000000000001" hidden="1" customHeight="1" x14ac:dyDescent="0.25">
      <c r="A136" s="151">
        <f>IF((A135+1)&lt;=Outline!$E$12,A135+1,0)</f>
        <v>42</v>
      </c>
    </row>
    <row r="137" spans="1:1" ht="20.100000000000001" hidden="1" customHeight="1" x14ac:dyDescent="0.25">
      <c r="A137" s="151">
        <f>IF((A136+1)&lt;=Outline!$E$12,A136+1,0)</f>
        <v>0</v>
      </c>
    </row>
    <row r="138" spans="1:1" ht="20.100000000000001" hidden="1" customHeight="1" x14ac:dyDescent="0.25">
      <c r="A138" s="151">
        <f>IF((A137+1)&lt;=Outline!$E$12,A137+1,0)</f>
        <v>1</v>
      </c>
    </row>
    <row r="139" spans="1:1" ht="20.100000000000001" hidden="1" customHeight="1" x14ac:dyDescent="0.25">
      <c r="A139" s="151">
        <f>IF((A138+1)&lt;=Outline!$E$12,A138+1,0)</f>
        <v>2</v>
      </c>
    </row>
    <row r="140" spans="1:1" ht="20.100000000000001" hidden="1" customHeight="1" x14ac:dyDescent="0.25">
      <c r="A140" s="151">
        <f>IF((A139+1)&lt;=Outline!$E$12,A139+1,0)</f>
        <v>3</v>
      </c>
    </row>
    <row r="141" spans="1:1" ht="20.100000000000001" hidden="1" customHeight="1" x14ac:dyDescent="0.25">
      <c r="A141" s="151">
        <f>IF((A140+1)&lt;=Outline!$E$12,A140+1,0)</f>
        <v>4</v>
      </c>
    </row>
    <row r="142" spans="1:1" ht="20.100000000000001" hidden="1" customHeight="1" x14ac:dyDescent="0.25">
      <c r="A142" s="151">
        <f>IF((A141+1)&lt;=Outline!$E$12,A141+1,0)</f>
        <v>5</v>
      </c>
    </row>
    <row r="143" spans="1:1" ht="20.100000000000001" hidden="1" customHeight="1" x14ac:dyDescent="0.25">
      <c r="A143" s="151">
        <f>IF((A142+1)&lt;=Outline!$E$12,A142+1,0)</f>
        <v>6</v>
      </c>
    </row>
    <row r="144" spans="1:1" ht="20.100000000000001" hidden="1" customHeight="1" x14ac:dyDescent="0.25">
      <c r="A144" s="151">
        <f>IF((A143+1)&lt;=Outline!$E$12,A143+1,0)</f>
        <v>7</v>
      </c>
    </row>
    <row r="145" spans="1:1" ht="20.100000000000001" hidden="1" customHeight="1" x14ac:dyDescent="0.25">
      <c r="A145" s="151">
        <f>IF((A144+1)&lt;=Outline!$E$12,A144+1,0)</f>
        <v>8</v>
      </c>
    </row>
    <row r="146" spans="1:1" ht="20.100000000000001" hidden="1" customHeight="1" x14ac:dyDescent="0.25">
      <c r="A146" s="151">
        <f>IF((A145+1)&lt;=Outline!$E$12,A145+1,0)</f>
        <v>9</v>
      </c>
    </row>
    <row r="147" spans="1:1" ht="20.100000000000001" hidden="1" customHeight="1" x14ac:dyDescent="0.25">
      <c r="A147" s="151">
        <f>IF((A146+1)&lt;=Outline!$E$12,A146+1,0)</f>
        <v>10</v>
      </c>
    </row>
    <row r="148" spans="1:1" ht="20.100000000000001" hidden="1" customHeight="1" x14ac:dyDescent="0.25">
      <c r="A148" s="151">
        <f>IF((A147+1)&lt;=Outline!$E$12,A147+1,0)</f>
        <v>11</v>
      </c>
    </row>
    <row r="149" spans="1:1" ht="20.100000000000001" hidden="1" customHeight="1" x14ac:dyDescent="0.25">
      <c r="A149" s="151">
        <f>IF((A148+1)&lt;=Outline!$E$12,A148+1,0)</f>
        <v>12</v>
      </c>
    </row>
    <row r="150" spans="1:1" ht="20.100000000000001" hidden="1" customHeight="1" x14ac:dyDescent="0.25">
      <c r="A150" s="151">
        <f>IF((A149+1)&lt;=Outline!$E$12,A149+1,0)</f>
        <v>13</v>
      </c>
    </row>
    <row r="151" spans="1:1" ht="20.100000000000001" hidden="1" customHeight="1" x14ac:dyDescent="0.25">
      <c r="A151" s="151">
        <f>IF((A150+1)&lt;=Outline!$E$12,A150+1,0)</f>
        <v>14</v>
      </c>
    </row>
    <row r="152" spans="1:1" ht="20.100000000000001" hidden="1" customHeight="1" x14ac:dyDescent="0.25">
      <c r="A152" s="151">
        <f>IF((A151+1)&lt;=Outline!$E$12,A151+1,0)</f>
        <v>15</v>
      </c>
    </row>
    <row r="153" spans="1:1" ht="20.100000000000001" hidden="1" customHeight="1" x14ac:dyDescent="0.25">
      <c r="A153" s="151">
        <f>IF((A152+1)&lt;=Outline!$E$12,A152+1,0)</f>
        <v>16</v>
      </c>
    </row>
    <row r="154" spans="1:1" ht="20.100000000000001" hidden="1" customHeight="1" x14ac:dyDescent="0.25">
      <c r="A154" s="151">
        <f>IF((A153+1)&lt;=Outline!$E$12,A153+1,0)</f>
        <v>17</v>
      </c>
    </row>
    <row r="155" spans="1:1" ht="20.100000000000001" hidden="1" customHeight="1" x14ac:dyDescent="0.25">
      <c r="A155" s="151">
        <f>IF((A154+1)&lt;=Outline!$E$12,A154+1,0)</f>
        <v>18</v>
      </c>
    </row>
    <row r="156" spans="1:1" ht="20.100000000000001" hidden="1" customHeight="1" x14ac:dyDescent="0.25">
      <c r="A156" s="151">
        <f>IF((A155+1)&lt;=Outline!$E$12,A155+1,0)</f>
        <v>19</v>
      </c>
    </row>
    <row r="157" spans="1:1" ht="20.100000000000001" hidden="1" customHeight="1" x14ac:dyDescent="0.25">
      <c r="A157" s="151">
        <f>IF((A156+1)&lt;=Outline!$E$12,A156+1,0)</f>
        <v>20</v>
      </c>
    </row>
    <row r="158" spans="1:1" ht="20.100000000000001" hidden="1" customHeight="1" x14ac:dyDescent="0.25">
      <c r="A158" s="151">
        <f>IF((A157+1)&lt;=Outline!$E$12,A157+1,0)</f>
        <v>21</v>
      </c>
    </row>
    <row r="159" spans="1:1" ht="20.100000000000001" hidden="1" customHeight="1" x14ac:dyDescent="0.25">
      <c r="A159" s="151">
        <f>IF((A158+1)&lt;=Outline!$E$12,A158+1,0)</f>
        <v>22</v>
      </c>
    </row>
    <row r="160" spans="1:1" ht="20.100000000000001" hidden="1" customHeight="1" x14ac:dyDescent="0.25">
      <c r="A160" s="151">
        <f>IF((A159+1)&lt;=Outline!$E$12,A159+1,0)</f>
        <v>23</v>
      </c>
    </row>
    <row r="161" spans="1:1" ht="20.100000000000001" hidden="1" customHeight="1" x14ac:dyDescent="0.25">
      <c r="A161" s="151">
        <f>IF((A160+1)&lt;=Outline!$E$12,A160+1,0)</f>
        <v>24</v>
      </c>
    </row>
    <row r="162" spans="1:1" ht="20.100000000000001" hidden="1" customHeight="1" x14ac:dyDescent="0.25">
      <c r="A162" s="151">
        <f>IF((A161+1)&lt;=Outline!$E$12,A161+1,0)</f>
        <v>25</v>
      </c>
    </row>
    <row r="163" spans="1:1" ht="20.100000000000001" hidden="1" customHeight="1" x14ac:dyDescent="0.25">
      <c r="A163" s="151">
        <f>IF((A162+1)&lt;=Outline!$E$12,A162+1,0)</f>
        <v>26</v>
      </c>
    </row>
    <row r="164" spans="1:1" ht="20.100000000000001" hidden="1" customHeight="1" x14ac:dyDescent="0.25">
      <c r="A164" s="151">
        <f>IF((A163+1)&lt;=Outline!$E$12,A163+1,0)</f>
        <v>27</v>
      </c>
    </row>
    <row r="165" spans="1:1" ht="20.100000000000001" hidden="1" customHeight="1" x14ac:dyDescent="0.25">
      <c r="A165" s="151">
        <f>IF((A164+1)&lt;=Outline!$E$12,A164+1,0)</f>
        <v>28</v>
      </c>
    </row>
    <row r="166" spans="1:1" ht="20.100000000000001" hidden="1" customHeight="1" x14ac:dyDescent="0.25">
      <c r="A166" s="151">
        <f>IF((A165+1)&lt;=Outline!$E$12,A165+1,0)</f>
        <v>29</v>
      </c>
    </row>
    <row r="167" spans="1:1" ht="20.100000000000001" hidden="1" customHeight="1" x14ac:dyDescent="0.25">
      <c r="A167" s="151">
        <f>IF((A166+1)&lt;=Outline!$E$12,A166+1,0)</f>
        <v>30</v>
      </c>
    </row>
    <row r="168" spans="1:1" ht="20.100000000000001" hidden="1" customHeight="1" x14ac:dyDescent="0.25">
      <c r="A168" s="151">
        <f>IF((A167+1)&lt;=Outline!$E$12,A167+1,0)</f>
        <v>31</v>
      </c>
    </row>
    <row r="169" spans="1:1" ht="20.100000000000001" hidden="1" customHeight="1" x14ac:dyDescent="0.25">
      <c r="A169" s="151">
        <f>IF((A168+1)&lt;=Outline!$E$12,A168+1,0)</f>
        <v>32</v>
      </c>
    </row>
    <row r="170" spans="1:1" ht="20.100000000000001" hidden="1" customHeight="1" x14ac:dyDescent="0.25">
      <c r="A170" s="151">
        <f>IF((A169+1)&lt;=Outline!$E$12,A169+1,0)</f>
        <v>33</v>
      </c>
    </row>
    <row r="171" spans="1:1" ht="20.100000000000001" hidden="1" customHeight="1" x14ac:dyDescent="0.25">
      <c r="A171" s="151">
        <f>IF((A170+1)&lt;=Outline!$E$12,A170+1,0)</f>
        <v>34</v>
      </c>
    </row>
    <row r="172" spans="1:1" ht="20.100000000000001" hidden="1" customHeight="1" x14ac:dyDescent="0.25">
      <c r="A172" s="151">
        <f>IF((A171+1)&lt;=Outline!$E$12,A171+1,0)</f>
        <v>35</v>
      </c>
    </row>
    <row r="173" spans="1:1" ht="20.100000000000001" hidden="1" customHeight="1" x14ac:dyDescent="0.25">
      <c r="A173" s="151">
        <f>IF((A172+1)&lt;=Outline!$E$12,A172+1,0)</f>
        <v>36</v>
      </c>
    </row>
    <row r="174" spans="1:1" ht="20.100000000000001" hidden="1" customHeight="1" x14ac:dyDescent="0.25">
      <c r="A174" s="151">
        <f>IF((A173+1)&lt;=Outline!$E$12,A173+1,0)</f>
        <v>37</v>
      </c>
    </row>
    <row r="175" spans="1:1" ht="20.100000000000001" hidden="1" customHeight="1" x14ac:dyDescent="0.25">
      <c r="A175" s="151">
        <f>IF((A174+1)&lt;=Outline!$E$12,A174+1,0)</f>
        <v>38</v>
      </c>
    </row>
    <row r="176" spans="1:1" ht="20.100000000000001" hidden="1" customHeight="1" x14ac:dyDescent="0.25">
      <c r="A176" s="151">
        <f>IF((A175+1)&lt;=Outline!$E$12,A175+1,0)</f>
        <v>39</v>
      </c>
    </row>
    <row r="177" spans="1:1" ht="20.100000000000001" hidden="1" customHeight="1" x14ac:dyDescent="0.25">
      <c r="A177" s="151">
        <f>IF((A176+1)&lt;=Outline!$E$12,A176+1,0)</f>
        <v>40</v>
      </c>
    </row>
    <row r="178" spans="1:1" ht="20.100000000000001" hidden="1" customHeight="1" x14ac:dyDescent="0.25">
      <c r="A178" s="151">
        <f>IF((A177+1)&lt;=Outline!$E$12,A177+1,0)</f>
        <v>41</v>
      </c>
    </row>
    <row r="179" spans="1:1" ht="20.100000000000001" hidden="1" customHeight="1" x14ac:dyDescent="0.25">
      <c r="A179" s="151">
        <f>IF((A178+1)&lt;=Outline!$E$12,A178+1,0)</f>
        <v>42</v>
      </c>
    </row>
    <row r="180" spans="1:1" ht="20.100000000000001" hidden="1" customHeight="1" x14ac:dyDescent="0.25">
      <c r="A180" s="151">
        <f>IF((A179+1)&lt;=Outline!$E$12,A179+1,0)</f>
        <v>0</v>
      </c>
    </row>
    <row r="181" spans="1:1" ht="20.100000000000001" hidden="1" customHeight="1" x14ac:dyDescent="0.25">
      <c r="A181" s="151">
        <f>IF((A180+1)&lt;=Outline!$E$12,A180+1,0)</f>
        <v>1</v>
      </c>
    </row>
    <row r="182" spans="1:1" ht="20.100000000000001" hidden="1" customHeight="1" x14ac:dyDescent="0.25">
      <c r="A182" s="151">
        <f>IF((A181+1)&lt;=Outline!$E$12,A181+1,0)</f>
        <v>2</v>
      </c>
    </row>
    <row r="183" spans="1:1" ht="20.100000000000001" hidden="1" customHeight="1" x14ac:dyDescent="0.25">
      <c r="A183" s="151">
        <f>IF((A182+1)&lt;=Outline!$E$12,A182+1,0)</f>
        <v>3</v>
      </c>
    </row>
    <row r="184" spans="1:1" ht="20.100000000000001" hidden="1" customHeight="1" x14ac:dyDescent="0.25">
      <c r="A184" s="151">
        <f>IF((A183+1)&lt;=Outline!$E$12,A183+1,0)</f>
        <v>4</v>
      </c>
    </row>
    <row r="185" spans="1:1" ht="20.100000000000001" hidden="1" customHeight="1" x14ac:dyDescent="0.25">
      <c r="A185" s="151">
        <f>IF((A184+1)&lt;=Outline!$E$12,A184+1,0)</f>
        <v>5</v>
      </c>
    </row>
    <row r="186" spans="1:1" ht="20.100000000000001" hidden="1" customHeight="1" x14ac:dyDescent="0.25">
      <c r="A186" s="151">
        <f>IF((A185+1)&lt;=Outline!$E$12,A185+1,0)</f>
        <v>6</v>
      </c>
    </row>
    <row r="187" spans="1:1" ht="20.100000000000001" hidden="1" customHeight="1" x14ac:dyDescent="0.25">
      <c r="A187" s="151">
        <f>IF((A186+1)&lt;=Outline!$E$12,A186+1,0)</f>
        <v>7</v>
      </c>
    </row>
    <row r="188" spans="1:1" ht="20.100000000000001" hidden="1" customHeight="1" x14ac:dyDescent="0.25">
      <c r="A188" s="151">
        <f>IF((A187+1)&lt;=Outline!$E$12,A187+1,0)</f>
        <v>8</v>
      </c>
    </row>
    <row r="189" spans="1:1" ht="20.100000000000001" hidden="1" customHeight="1" x14ac:dyDescent="0.25">
      <c r="A189" s="151">
        <f>IF((A188+1)&lt;=Outline!$E$12,A188+1,0)</f>
        <v>9</v>
      </c>
    </row>
    <row r="190" spans="1:1" ht="20.100000000000001" hidden="1" customHeight="1" x14ac:dyDescent="0.25">
      <c r="A190" s="151">
        <f>IF((A189+1)&lt;=Outline!$E$12,A189+1,0)</f>
        <v>10</v>
      </c>
    </row>
    <row r="191" spans="1:1" ht="20.100000000000001" hidden="1" customHeight="1" x14ac:dyDescent="0.25">
      <c r="A191" s="151">
        <f>IF((A190+1)&lt;=Outline!$E$12,A190+1,0)</f>
        <v>11</v>
      </c>
    </row>
    <row r="192" spans="1:1" ht="20.100000000000001" hidden="1" customHeight="1" x14ac:dyDescent="0.25">
      <c r="A192" s="151">
        <f>IF((A191+1)&lt;=Outline!$E$12,A191+1,0)</f>
        <v>12</v>
      </c>
    </row>
    <row r="193" spans="1:1" ht="20.100000000000001" hidden="1" customHeight="1" x14ac:dyDescent="0.25">
      <c r="A193" s="151">
        <f>IF((A192+1)&lt;=Outline!$E$12,A192+1,0)</f>
        <v>13</v>
      </c>
    </row>
    <row r="194" spans="1:1" ht="20.100000000000001" hidden="1" customHeight="1" x14ac:dyDescent="0.25">
      <c r="A194" s="151">
        <f>IF((A193+1)&lt;=Outline!$E$12,A193+1,0)</f>
        <v>14</v>
      </c>
    </row>
    <row r="195" spans="1:1" ht="20.100000000000001" hidden="1" customHeight="1" x14ac:dyDescent="0.25">
      <c r="A195" s="151">
        <f>IF((A194+1)&lt;=Outline!$E$12,A194+1,0)</f>
        <v>15</v>
      </c>
    </row>
    <row r="196" spans="1:1" ht="20.100000000000001" hidden="1" customHeight="1" x14ac:dyDescent="0.25">
      <c r="A196" s="151">
        <f>IF((A195+1)&lt;=Outline!$E$12,A195+1,0)</f>
        <v>16</v>
      </c>
    </row>
    <row r="197" spans="1:1" ht="20.100000000000001" hidden="1" customHeight="1" x14ac:dyDescent="0.25">
      <c r="A197" s="151">
        <f>IF((A196+1)&lt;=Outline!$E$12,A196+1,0)</f>
        <v>17</v>
      </c>
    </row>
    <row r="198" spans="1:1" ht="20.100000000000001" hidden="1" customHeight="1" x14ac:dyDescent="0.25">
      <c r="A198" s="151">
        <f>IF((A197+1)&lt;=Outline!$E$12,A197+1,0)</f>
        <v>18</v>
      </c>
    </row>
    <row r="199" spans="1:1" ht="20.100000000000001" hidden="1" customHeight="1" x14ac:dyDescent="0.25">
      <c r="A199" s="151">
        <f>IF((A198+1)&lt;=Outline!$E$12,A198+1,0)</f>
        <v>19</v>
      </c>
    </row>
    <row r="200" spans="1:1" ht="20.100000000000001" hidden="1" customHeight="1" x14ac:dyDescent="0.25">
      <c r="A200" s="151">
        <f>IF((A199+1)&lt;=Outline!$E$12,A199+1,0)</f>
        <v>20</v>
      </c>
    </row>
    <row r="201" spans="1:1" ht="20.100000000000001" hidden="1" customHeight="1" x14ac:dyDescent="0.25">
      <c r="A201" s="151">
        <f>IF((A200+1)&lt;=Outline!$E$12,A200+1,0)</f>
        <v>21</v>
      </c>
    </row>
    <row r="202" spans="1:1" ht="20.100000000000001" hidden="1" customHeight="1" x14ac:dyDescent="0.25">
      <c r="A202" s="151">
        <f>IF((A201+1)&lt;=Outline!$E$12,A201+1,0)</f>
        <v>22</v>
      </c>
    </row>
    <row r="203" spans="1:1" ht="20.100000000000001" hidden="1" customHeight="1" x14ac:dyDescent="0.25">
      <c r="A203" s="151">
        <f>IF((A202+1)&lt;=Outline!$E$12,A202+1,0)</f>
        <v>23</v>
      </c>
    </row>
    <row r="204" spans="1:1" ht="20.100000000000001" hidden="1" customHeight="1" x14ac:dyDescent="0.25">
      <c r="A204" s="151">
        <f>IF((A203+1)&lt;=Outline!$E$12,A203+1,0)</f>
        <v>24</v>
      </c>
    </row>
    <row r="205" spans="1:1" ht="20.100000000000001" hidden="1" customHeight="1" x14ac:dyDescent="0.25">
      <c r="A205" s="151">
        <f>IF((A204+1)&lt;=Outline!$E$12,A204+1,0)</f>
        <v>25</v>
      </c>
    </row>
    <row r="206" spans="1:1" ht="20.100000000000001" hidden="1" customHeight="1" x14ac:dyDescent="0.25">
      <c r="A206" s="151">
        <f>IF((A205+1)&lt;=Outline!$E$12,A205+1,0)</f>
        <v>26</v>
      </c>
    </row>
    <row r="207" spans="1:1" ht="20.100000000000001" hidden="1" customHeight="1" x14ac:dyDescent="0.25">
      <c r="A207" s="151">
        <f>IF((A206+1)&lt;=Outline!$E$12,A206+1,0)</f>
        <v>27</v>
      </c>
    </row>
    <row r="208" spans="1:1" ht="20.100000000000001" hidden="1" customHeight="1" x14ac:dyDescent="0.25">
      <c r="A208" s="151">
        <f>IF((A207+1)&lt;=Outline!$E$12,A207+1,0)</f>
        <v>28</v>
      </c>
    </row>
    <row r="209" spans="1:1" ht="20.100000000000001" hidden="1" customHeight="1" x14ac:dyDescent="0.25">
      <c r="A209" s="151">
        <f>IF((A208+1)&lt;=Outline!$E$12,A208+1,0)</f>
        <v>29</v>
      </c>
    </row>
    <row r="210" spans="1:1" ht="20.100000000000001" hidden="1" customHeight="1" x14ac:dyDescent="0.25">
      <c r="A210" s="151">
        <f>IF((A209+1)&lt;=Outline!$E$12,A209+1,0)</f>
        <v>30</v>
      </c>
    </row>
    <row r="211" spans="1:1" ht="20.100000000000001" hidden="1" customHeight="1" x14ac:dyDescent="0.25">
      <c r="A211" s="151">
        <f>IF((A210+1)&lt;=Outline!$E$12,A210+1,0)</f>
        <v>31</v>
      </c>
    </row>
    <row r="212" spans="1:1" ht="20.100000000000001" hidden="1" customHeight="1" x14ac:dyDescent="0.25">
      <c r="A212" s="151">
        <f>IF((A211+1)&lt;=Outline!$E$12,A211+1,0)</f>
        <v>32</v>
      </c>
    </row>
    <row r="213" spans="1:1" ht="20.100000000000001" hidden="1" customHeight="1" x14ac:dyDescent="0.25">
      <c r="A213" s="151">
        <f>IF((A212+1)&lt;=Outline!$E$12,A212+1,0)</f>
        <v>33</v>
      </c>
    </row>
    <row r="214" spans="1:1" ht="20.100000000000001" hidden="1" customHeight="1" x14ac:dyDescent="0.25">
      <c r="A214" s="151">
        <f>IF((A213+1)&lt;=Outline!$E$12,A213+1,0)</f>
        <v>34</v>
      </c>
    </row>
    <row r="215" spans="1:1" ht="20.100000000000001" hidden="1" customHeight="1" x14ac:dyDescent="0.25">
      <c r="A215" s="151">
        <f>IF((A214+1)&lt;=Outline!$E$12,A214+1,0)</f>
        <v>35</v>
      </c>
    </row>
    <row r="216" spans="1:1" ht="20.100000000000001" hidden="1" customHeight="1" x14ac:dyDescent="0.25">
      <c r="A216" s="151">
        <f>IF((A215+1)&lt;=Outline!$E$12,A215+1,0)</f>
        <v>36</v>
      </c>
    </row>
    <row r="217" spans="1:1" ht="20.100000000000001" hidden="1" customHeight="1" x14ac:dyDescent="0.25">
      <c r="A217" s="151">
        <f>IF((A216+1)&lt;=Outline!$E$12,A216+1,0)</f>
        <v>37</v>
      </c>
    </row>
    <row r="218" spans="1:1" ht="20.100000000000001" hidden="1" customHeight="1" x14ac:dyDescent="0.25">
      <c r="A218" s="151">
        <f>IF((A217+1)&lt;=Outline!$E$12,A217+1,0)</f>
        <v>38</v>
      </c>
    </row>
    <row r="219" spans="1:1" ht="20.100000000000001" hidden="1" customHeight="1" x14ac:dyDescent="0.25">
      <c r="A219" s="151">
        <f>IF((A218+1)&lt;=Outline!$E$12,A218+1,0)</f>
        <v>39</v>
      </c>
    </row>
    <row r="220" spans="1:1" ht="20.100000000000001" hidden="1" customHeight="1" x14ac:dyDescent="0.25">
      <c r="A220" s="151">
        <f>IF((A219+1)&lt;=Outline!$E$12,A219+1,0)</f>
        <v>40</v>
      </c>
    </row>
    <row r="221" spans="1:1" ht="20.100000000000001" hidden="1" customHeight="1" x14ac:dyDescent="0.25">
      <c r="A221" s="151">
        <f>IF((A220+1)&lt;=Outline!$E$12,A220+1,0)</f>
        <v>41</v>
      </c>
    </row>
    <row r="222" spans="1:1" ht="20.100000000000001" hidden="1" customHeight="1" x14ac:dyDescent="0.25">
      <c r="A222" s="151">
        <f>IF((A221+1)&lt;=Outline!$E$12,A221+1,0)</f>
        <v>42</v>
      </c>
    </row>
    <row r="223" spans="1:1" ht="20.100000000000001" hidden="1" customHeight="1" x14ac:dyDescent="0.25">
      <c r="A223" s="151">
        <f>IF((A222+1)&lt;=Outline!$E$12,A222+1,0)</f>
        <v>0</v>
      </c>
    </row>
    <row r="224" spans="1:1" ht="20.100000000000001" hidden="1" customHeight="1" x14ac:dyDescent="0.25">
      <c r="A224" s="151">
        <f>IF((A223+1)&lt;=Outline!$E$12,A223+1,0)</f>
        <v>1</v>
      </c>
    </row>
    <row r="225" spans="1:1" ht="20.100000000000001" hidden="1" customHeight="1" x14ac:dyDescent="0.25">
      <c r="A225" s="151">
        <f>IF((A224+1)&lt;=Outline!$E$12,A224+1,0)</f>
        <v>2</v>
      </c>
    </row>
    <row r="226" spans="1:1" ht="20.100000000000001" hidden="1" customHeight="1" x14ac:dyDescent="0.25">
      <c r="A226" s="151">
        <f>IF((A225+1)&lt;=Outline!$E$12,A225+1,0)</f>
        <v>3</v>
      </c>
    </row>
    <row r="227" spans="1:1" ht="20.100000000000001" hidden="1" customHeight="1" x14ac:dyDescent="0.25">
      <c r="A227" s="151">
        <f>IF((A226+1)&lt;=Outline!$E$12,A226+1,0)</f>
        <v>4</v>
      </c>
    </row>
    <row r="228" spans="1:1" ht="20.100000000000001" hidden="1" customHeight="1" x14ac:dyDescent="0.25">
      <c r="A228" s="151">
        <f>IF((A227+1)&lt;=Outline!$E$12,A227+1,0)</f>
        <v>5</v>
      </c>
    </row>
    <row r="229" spans="1:1" ht="20.100000000000001" hidden="1" customHeight="1" x14ac:dyDescent="0.25">
      <c r="A229" s="151">
        <f>IF((A228+1)&lt;=Outline!$E$12,A228+1,0)</f>
        <v>6</v>
      </c>
    </row>
    <row r="230" spans="1:1" ht="20.100000000000001" hidden="1" customHeight="1" x14ac:dyDescent="0.25">
      <c r="A230" s="151">
        <f>IF((A229+1)&lt;=Outline!$E$12,A229+1,0)</f>
        <v>7</v>
      </c>
    </row>
    <row r="231" spans="1:1" ht="20.100000000000001" hidden="1" customHeight="1" x14ac:dyDescent="0.25">
      <c r="A231" s="151">
        <f>IF((A230+1)&lt;=Outline!$E$12,A230+1,0)</f>
        <v>8</v>
      </c>
    </row>
    <row r="232" spans="1:1" ht="20.100000000000001" hidden="1" customHeight="1" x14ac:dyDescent="0.25">
      <c r="A232" s="151">
        <f>IF((A231+1)&lt;=Outline!$E$12,A231+1,0)</f>
        <v>9</v>
      </c>
    </row>
    <row r="233" spans="1:1" ht="20.100000000000001" hidden="1" customHeight="1" x14ac:dyDescent="0.25">
      <c r="A233" s="151">
        <f>IF((A232+1)&lt;=Outline!$E$12,A232+1,0)</f>
        <v>10</v>
      </c>
    </row>
    <row r="234" spans="1:1" ht="20.100000000000001" hidden="1" customHeight="1" x14ac:dyDescent="0.25">
      <c r="A234" s="151">
        <f>IF((A233+1)&lt;=Outline!$E$12,A233+1,0)</f>
        <v>11</v>
      </c>
    </row>
    <row r="235" spans="1:1" ht="20.100000000000001" hidden="1" customHeight="1" x14ac:dyDescent="0.25">
      <c r="A235" s="151">
        <f>IF((A234+1)&lt;=Outline!$E$12,A234+1,0)</f>
        <v>12</v>
      </c>
    </row>
    <row r="236" spans="1:1" ht="20.100000000000001" hidden="1" customHeight="1" x14ac:dyDescent="0.25">
      <c r="A236" s="151">
        <f>IF((A235+1)&lt;=Outline!$E$12,A235+1,0)</f>
        <v>13</v>
      </c>
    </row>
    <row r="237" spans="1:1" ht="20.100000000000001" hidden="1" customHeight="1" x14ac:dyDescent="0.25">
      <c r="A237" s="151">
        <f>IF((A236+1)&lt;=Outline!$E$12,A236+1,0)</f>
        <v>14</v>
      </c>
    </row>
    <row r="238" spans="1:1" ht="20.100000000000001" hidden="1" customHeight="1" x14ac:dyDescent="0.25">
      <c r="A238" s="151">
        <f>IF((A237+1)&lt;=Outline!$E$12,A237+1,0)</f>
        <v>15</v>
      </c>
    </row>
    <row r="239" spans="1:1" ht="20.100000000000001" hidden="1" customHeight="1" x14ac:dyDescent="0.25">
      <c r="A239" s="151">
        <f>IF((A238+1)&lt;=Outline!$E$12,A238+1,0)</f>
        <v>16</v>
      </c>
    </row>
    <row r="240" spans="1:1" ht="20.100000000000001" hidden="1" customHeight="1" x14ac:dyDescent="0.25">
      <c r="A240" s="151">
        <f>IF((A239+1)&lt;=Outline!$E$12,A239+1,0)</f>
        <v>17</v>
      </c>
    </row>
    <row r="241" spans="1:1" ht="20.100000000000001" hidden="1" customHeight="1" x14ac:dyDescent="0.25">
      <c r="A241" s="151">
        <f>IF((A240+1)&lt;=Outline!$E$12,A240+1,0)</f>
        <v>18</v>
      </c>
    </row>
    <row r="242" spans="1:1" ht="20.100000000000001" hidden="1" customHeight="1" x14ac:dyDescent="0.25">
      <c r="A242" s="151">
        <f>IF((A241+1)&lt;=Outline!$E$12,A241+1,0)</f>
        <v>19</v>
      </c>
    </row>
    <row r="243" spans="1:1" ht="20.100000000000001" hidden="1" customHeight="1" x14ac:dyDescent="0.25">
      <c r="A243" s="151">
        <f>IF((A242+1)&lt;=Outline!$E$12,A242+1,0)</f>
        <v>20</v>
      </c>
    </row>
    <row r="244" spans="1:1" ht="20.100000000000001" hidden="1" customHeight="1" x14ac:dyDescent="0.25">
      <c r="A244" s="151">
        <f>IF((A243+1)&lt;=Outline!$E$12,A243+1,0)</f>
        <v>21</v>
      </c>
    </row>
    <row r="245" spans="1:1" ht="20.100000000000001" hidden="1" customHeight="1" x14ac:dyDescent="0.25">
      <c r="A245" s="151">
        <f>IF((A244+1)&lt;=Outline!$E$12,A244+1,0)</f>
        <v>22</v>
      </c>
    </row>
    <row r="246" spans="1:1" ht="20.100000000000001" hidden="1" customHeight="1" x14ac:dyDescent="0.25">
      <c r="A246" s="151">
        <f>IF((A245+1)&lt;=Outline!$E$12,A245+1,0)</f>
        <v>23</v>
      </c>
    </row>
    <row r="247" spans="1:1" ht="20.100000000000001" hidden="1" customHeight="1" x14ac:dyDescent="0.25">
      <c r="A247" s="151">
        <f>IF((A246+1)&lt;=Outline!$E$12,A246+1,0)</f>
        <v>24</v>
      </c>
    </row>
    <row r="248" spans="1:1" ht="20.100000000000001" hidden="1" customHeight="1" x14ac:dyDescent="0.25">
      <c r="A248" s="151">
        <f>IF((A247+1)&lt;=Outline!$E$12,A247+1,0)</f>
        <v>25</v>
      </c>
    </row>
    <row r="249" spans="1:1" ht="20.100000000000001" hidden="1" customHeight="1" x14ac:dyDescent="0.25">
      <c r="A249" s="151">
        <f>IF((A248+1)&lt;=Outline!$E$12,A248+1,0)</f>
        <v>26</v>
      </c>
    </row>
    <row r="250" spans="1:1" ht="20.100000000000001" hidden="1" customHeight="1" x14ac:dyDescent="0.25">
      <c r="A250" s="151">
        <f>IF((A249+1)&lt;=Outline!$E$12,A249+1,0)</f>
        <v>27</v>
      </c>
    </row>
    <row r="251" spans="1:1" ht="20.100000000000001" hidden="1" customHeight="1" x14ac:dyDescent="0.25">
      <c r="A251" s="151">
        <f>IF((A250+1)&lt;=Outline!$E$12,A250+1,0)</f>
        <v>28</v>
      </c>
    </row>
    <row r="252" spans="1:1" ht="20.100000000000001" hidden="1" customHeight="1" x14ac:dyDescent="0.25">
      <c r="A252" s="151">
        <f>IF((A251+1)&lt;=Outline!$E$12,A251+1,0)</f>
        <v>29</v>
      </c>
    </row>
    <row r="253" spans="1:1" ht="20.100000000000001" hidden="1" customHeight="1" x14ac:dyDescent="0.25">
      <c r="A253" s="151">
        <f>IF((A252+1)&lt;=Outline!$E$12,A252+1,0)</f>
        <v>30</v>
      </c>
    </row>
    <row r="254" spans="1:1" ht="20.100000000000001" hidden="1" customHeight="1" x14ac:dyDescent="0.25">
      <c r="A254" s="151">
        <f>IF((A253+1)&lt;=Outline!$E$12,A253+1,0)</f>
        <v>31</v>
      </c>
    </row>
    <row r="255" spans="1:1" ht="20.100000000000001" hidden="1" customHeight="1" x14ac:dyDescent="0.25">
      <c r="A255" s="151">
        <f>IF((A254+1)&lt;=Outline!$E$12,A254+1,0)</f>
        <v>32</v>
      </c>
    </row>
    <row r="256" spans="1:1" ht="20.100000000000001" hidden="1" customHeight="1" x14ac:dyDescent="0.25">
      <c r="A256" s="151">
        <f>IF((A255+1)&lt;=Outline!$E$12,A255+1,0)</f>
        <v>33</v>
      </c>
    </row>
    <row r="257" spans="1:1" ht="20.100000000000001" hidden="1" customHeight="1" x14ac:dyDescent="0.25">
      <c r="A257" s="151">
        <f>IF((A256+1)&lt;=Outline!$E$12,A256+1,0)</f>
        <v>34</v>
      </c>
    </row>
    <row r="258" spans="1:1" ht="20.100000000000001" hidden="1" customHeight="1" x14ac:dyDescent="0.25">
      <c r="A258" s="151">
        <f>IF((A257+1)&lt;=Outline!$E$12,A257+1,0)</f>
        <v>35</v>
      </c>
    </row>
    <row r="259" spans="1:1" ht="20.100000000000001" hidden="1" customHeight="1" x14ac:dyDescent="0.25">
      <c r="A259" s="151">
        <f>IF((A258+1)&lt;=Outline!$E$12,A258+1,0)</f>
        <v>36</v>
      </c>
    </row>
    <row r="260" spans="1:1" ht="20.100000000000001" hidden="1" customHeight="1" x14ac:dyDescent="0.25">
      <c r="A260" s="151">
        <f>IF((A259+1)&lt;=Outline!$E$12,A259+1,0)</f>
        <v>37</v>
      </c>
    </row>
    <row r="261" spans="1:1" ht="20.100000000000001" hidden="1" customHeight="1" x14ac:dyDescent="0.25">
      <c r="A261" s="151">
        <f>IF((A260+1)&lt;=Outline!$E$12,A260+1,0)</f>
        <v>38</v>
      </c>
    </row>
    <row r="262" spans="1:1" ht="20.100000000000001" hidden="1" customHeight="1" x14ac:dyDescent="0.25">
      <c r="A262" s="151">
        <f>IF((A261+1)&lt;=Outline!$E$12,A261+1,0)</f>
        <v>39</v>
      </c>
    </row>
    <row r="263" spans="1:1" ht="20.100000000000001" hidden="1" customHeight="1" x14ac:dyDescent="0.25">
      <c r="A263" s="151">
        <f>IF((A262+1)&lt;=Outline!$E$12,A262+1,0)</f>
        <v>40</v>
      </c>
    </row>
    <row r="264" spans="1:1" ht="20.100000000000001" hidden="1" customHeight="1" x14ac:dyDescent="0.25">
      <c r="A264" s="151">
        <f>IF((A263+1)&lt;=Outline!$E$12,A263+1,0)</f>
        <v>41</v>
      </c>
    </row>
    <row r="265" spans="1:1" ht="20.100000000000001" hidden="1" customHeight="1" x14ac:dyDescent="0.25">
      <c r="A265" s="151">
        <f>IF((A264+1)&lt;=Outline!$E$12,A264+1,0)</f>
        <v>42</v>
      </c>
    </row>
    <row r="266" spans="1:1" ht="20.100000000000001" hidden="1" customHeight="1" x14ac:dyDescent="0.25">
      <c r="A266" s="151">
        <f>IF((A265+1)&lt;=Outline!$E$12,A265+1,0)</f>
        <v>0</v>
      </c>
    </row>
    <row r="267" spans="1:1" ht="20.100000000000001" hidden="1" customHeight="1" x14ac:dyDescent="0.25">
      <c r="A267" s="151">
        <f>IF((A266+1)&lt;=Outline!$E$12,A266+1,0)</f>
        <v>1</v>
      </c>
    </row>
    <row r="268" spans="1:1" ht="20.100000000000001" hidden="1" customHeight="1" x14ac:dyDescent="0.25">
      <c r="A268" s="151">
        <f>IF((A267+1)&lt;=Outline!$E$12,A267+1,0)</f>
        <v>2</v>
      </c>
    </row>
    <row r="269" spans="1:1" ht="20.100000000000001" hidden="1" customHeight="1" x14ac:dyDescent="0.25">
      <c r="A269" s="151">
        <f>IF((A268+1)&lt;=Outline!$E$12,A268+1,0)</f>
        <v>3</v>
      </c>
    </row>
    <row r="270" spans="1:1" ht="20.100000000000001" hidden="1" customHeight="1" x14ac:dyDescent="0.25">
      <c r="A270" s="151">
        <f>IF((A269+1)&lt;=Outline!$E$12,A269+1,0)</f>
        <v>4</v>
      </c>
    </row>
    <row r="271" spans="1:1" ht="20.100000000000001" hidden="1" customHeight="1" x14ac:dyDescent="0.25">
      <c r="A271" s="151">
        <f>IF((A270+1)&lt;=Outline!$E$12,A270+1,0)</f>
        <v>5</v>
      </c>
    </row>
    <row r="272" spans="1:1" ht="20.100000000000001" hidden="1" customHeight="1" x14ac:dyDescent="0.25">
      <c r="A272" s="151">
        <f>IF((A271+1)&lt;=Outline!$E$12,A271+1,0)</f>
        <v>6</v>
      </c>
    </row>
    <row r="273" spans="1:1" ht="20.100000000000001" hidden="1" customHeight="1" x14ac:dyDescent="0.25">
      <c r="A273" s="151">
        <f>IF((A272+1)&lt;=Outline!$E$12,A272+1,0)</f>
        <v>7</v>
      </c>
    </row>
    <row r="274" spans="1:1" ht="20.100000000000001" hidden="1" customHeight="1" x14ac:dyDescent="0.25">
      <c r="A274" s="151">
        <f>IF((A273+1)&lt;=Outline!$E$12,A273+1,0)</f>
        <v>8</v>
      </c>
    </row>
    <row r="275" spans="1:1" ht="20.100000000000001" hidden="1" customHeight="1" x14ac:dyDescent="0.25">
      <c r="A275" s="151">
        <f>IF((A274+1)&lt;=Outline!$E$12,A274+1,0)</f>
        <v>9</v>
      </c>
    </row>
    <row r="276" spans="1:1" ht="20.100000000000001" hidden="1" customHeight="1" x14ac:dyDescent="0.25">
      <c r="A276" s="151">
        <f>IF((A275+1)&lt;=Outline!$E$12,A275+1,0)</f>
        <v>10</v>
      </c>
    </row>
    <row r="277" spans="1:1" ht="20.100000000000001" hidden="1" customHeight="1" x14ac:dyDescent="0.25">
      <c r="A277" s="151">
        <f>IF((A276+1)&lt;=Outline!$E$12,A276+1,0)</f>
        <v>11</v>
      </c>
    </row>
    <row r="278" spans="1:1" ht="20.100000000000001" hidden="1" customHeight="1" x14ac:dyDescent="0.25">
      <c r="A278" s="151">
        <f>IF((A277+1)&lt;=Outline!$E$12,A277+1,0)</f>
        <v>12</v>
      </c>
    </row>
    <row r="279" spans="1:1" ht="20.100000000000001" hidden="1" customHeight="1" x14ac:dyDescent="0.25">
      <c r="A279" s="151">
        <f>IF((A278+1)&lt;=Outline!$E$12,A278+1,0)</f>
        <v>13</v>
      </c>
    </row>
    <row r="280" spans="1:1" ht="20.100000000000001" hidden="1" customHeight="1" x14ac:dyDescent="0.25">
      <c r="A280" s="151">
        <f>IF((A279+1)&lt;=Outline!$E$12,A279+1,0)</f>
        <v>14</v>
      </c>
    </row>
    <row r="281" spans="1:1" ht="20.100000000000001" hidden="1" customHeight="1" x14ac:dyDescent="0.25">
      <c r="A281" s="151">
        <f>IF((A280+1)&lt;=Outline!$E$12,A280+1,0)</f>
        <v>15</v>
      </c>
    </row>
    <row r="282" spans="1:1" ht="20.100000000000001" hidden="1" customHeight="1" x14ac:dyDescent="0.25">
      <c r="A282" s="151">
        <f>IF((A281+1)&lt;=Outline!$E$12,A281+1,0)</f>
        <v>16</v>
      </c>
    </row>
    <row r="283" spans="1:1" ht="20.100000000000001" hidden="1" customHeight="1" x14ac:dyDescent="0.25">
      <c r="A283" s="151">
        <f>IF((A282+1)&lt;=Outline!$E$12,A282+1,0)</f>
        <v>17</v>
      </c>
    </row>
    <row r="284" spans="1:1" ht="20.100000000000001" hidden="1" customHeight="1" x14ac:dyDescent="0.25">
      <c r="A284" s="151">
        <f>IF((A283+1)&lt;=Outline!$E$12,A283+1,0)</f>
        <v>18</v>
      </c>
    </row>
    <row r="285" spans="1:1" ht="20.100000000000001" hidden="1" customHeight="1" x14ac:dyDescent="0.25">
      <c r="A285" s="151">
        <f>IF((A284+1)&lt;=Outline!$E$12,A284+1,0)</f>
        <v>19</v>
      </c>
    </row>
    <row r="286" spans="1:1" ht="20.100000000000001" hidden="1" customHeight="1" x14ac:dyDescent="0.25">
      <c r="A286" s="151">
        <f>IF((A285+1)&lt;=Outline!$E$12,A285+1,0)</f>
        <v>20</v>
      </c>
    </row>
    <row r="287" spans="1:1" ht="20.100000000000001" hidden="1" customHeight="1" x14ac:dyDescent="0.25">
      <c r="A287" s="151">
        <f>IF((A286+1)&lt;=Outline!$E$12,A286+1,0)</f>
        <v>21</v>
      </c>
    </row>
    <row r="288" spans="1:1" ht="20.100000000000001" hidden="1" customHeight="1" x14ac:dyDescent="0.25">
      <c r="A288" s="151">
        <f>IF((A287+1)&lt;=Outline!$E$12,A287+1,0)</f>
        <v>22</v>
      </c>
    </row>
    <row r="289" spans="1:1" ht="20.100000000000001" hidden="1" customHeight="1" x14ac:dyDescent="0.25">
      <c r="A289" s="151">
        <f>IF((A288+1)&lt;=Outline!$E$12,A288+1,0)</f>
        <v>23</v>
      </c>
    </row>
    <row r="290" spans="1:1" ht="20.100000000000001" hidden="1" customHeight="1" x14ac:dyDescent="0.25">
      <c r="A290" s="151">
        <f>IF((A289+1)&lt;=Outline!$E$12,A289+1,0)</f>
        <v>24</v>
      </c>
    </row>
    <row r="291" spans="1:1" ht="20.100000000000001" hidden="1" customHeight="1" x14ac:dyDescent="0.25">
      <c r="A291" s="151">
        <f>IF((A290+1)&lt;=Outline!$E$12,A290+1,0)</f>
        <v>25</v>
      </c>
    </row>
    <row r="292" spans="1:1" ht="20.100000000000001" hidden="1" customHeight="1" x14ac:dyDescent="0.25">
      <c r="A292" s="151">
        <f>IF((A291+1)&lt;=Outline!$E$12,A291+1,0)</f>
        <v>26</v>
      </c>
    </row>
    <row r="293" spans="1:1" ht="20.100000000000001" hidden="1" customHeight="1" x14ac:dyDescent="0.25">
      <c r="A293" s="151">
        <f>IF((A292+1)&lt;=Outline!$E$12,A292+1,0)</f>
        <v>27</v>
      </c>
    </row>
    <row r="294" spans="1:1" ht="20.100000000000001" hidden="1" customHeight="1" x14ac:dyDescent="0.25">
      <c r="A294" s="151">
        <f>IF((A293+1)&lt;=Outline!$E$12,A293+1,0)</f>
        <v>28</v>
      </c>
    </row>
    <row r="295" spans="1:1" ht="20.100000000000001" hidden="1" customHeight="1" x14ac:dyDescent="0.25">
      <c r="A295" s="151">
        <f>IF((A294+1)&lt;=Outline!$E$12,A294+1,0)</f>
        <v>29</v>
      </c>
    </row>
    <row r="296" spans="1:1" ht="20.100000000000001" hidden="1" customHeight="1" x14ac:dyDescent="0.25">
      <c r="A296" s="151">
        <f>IF((A295+1)&lt;=Outline!$E$12,A295+1,0)</f>
        <v>30</v>
      </c>
    </row>
    <row r="297" spans="1:1" ht="20.100000000000001" hidden="1" customHeight="1" x14ac:dyDescent="0.25">
      <c r="A297" s="151">
        <f>IF((A296+1)&lt;=Outline!$E$12,A296+1,0)</f>
        <v>31</v>
      </c>
    </row>
    <row r="298" spans="1:1" ht="20.100000000000001" hidden="1" customHeight="1" x14ac:dyDescent="0.25">
      <c r="A298" s="151">
        <f>IF((A297+1)&lt;=Outline!$E$12,A297+1,0)</f>
        <v>32</v>
      </c>
    </row>
    <row r="299" spans="1:1" ht="20.100000000000001" hidden="1" customHeight="1" x14ac:dyDescent="0.25">
      <c r="A299" s="151">
        <f>IF((A298+1)&lt;=Outline!$E$12,A298+1,0)</f>
        <v>33</v>
      </c>
    </row>
    <row r="300" spans="1:1" ht="20.100000000000001" hidden="1" customHeight="1" x14ac:dyDescent="0.25">
      <c r="A300" s="151">
        <f>IF((A299+1)&lt;=Outline!$E$12,A299+1,0)</f>
        <v>34</v>
      </c>
    </row>
    <row r="301" spans="1:1" ht="20.100000000000001" hidden="1" customHeight="1" x14ac:dyDescent="0.25">
      <c r="A301" s="151">
        <f>IF((A300+1)&lt;=Outline!$E$12,A300+1,0)</f>
        <v>35</v>
      </c>
    </row>
    <row r="302" spans="1:1" ht="20.100000000000001" hidden="1" customHeight="1" x14ac:dyDescent="0.25">
      <c r="A302" s="151">
        <f>IF((A301+1)&lt;=Outline!$E$12,A301+1,0)</f>
        <v>36</v>
      </c>
    </row>
    <row r="303" spans="1:1" ht="20.100000000000001" hidden="1" customHeight="1" x14ac:dyDescent="0.25">
      <c r="A303" s="151">
        <f>IF((A302+1)&lt;=Outline!$E$12,A302+1,0)</f>
        <v>37</v>
      </c>
    </row>
    <row r="304" spans="1:1" ht="20.100000000000001" hidden="1" customHeight="1" x14ac:dyDescent="0.25">
      <c r="A304" s="151">
        <f>IF((A303+1)&lt;=Outline!$E$12,A303+1,0)</f>
        <v>38</v>
      </c>
    </row>
    <row r="305" spans="1:1" ht="20.100000000000001" hidden="1" customHeight="1" x14ac:dyDescent="0.25">
      <c r="A305" s="151">
        <f>IF((A304+1)&lt;=Outline!$E$12,A304+1,0)</f>
        <v>39</v>
      </c>
    </row>
    <row r="306" spans="1:1" ht="20.100000000000001" hidden="1" customHeight="1" x14ac:dyDescent="0.25">
      <c r="A306" s="151">
        <f>IF((A305+1)&lt;=Outline!$E$12,A305+1,0)</f>
        <v>40</v>
      </c>
    </row>
    <row r="307" spans="1:1" ht="20.100000000000001" hidden="1" customHeight="1" x14ac:dyDescent="0.25">
      <c r="A307" s="151">
        <f>IF((A306+1)&lt;=Outline!$E$12,A306+1,0)</f>
        <v>41</v>
      </c>
    </row>
    <row r="308" spans="1:1" ht="20.100000000000001" hidden="1" customHeight="1" x14ac:dyDescent="0.25">
      <c r="A308" s="151">
        <f>IF((A307+1)&lt;=Outline!$E$12,A307+1,0)</f>
        <v>42</v>
      </c>
    </row>
    <row r="309" spans="1:1" ht="20.100000000000001" hidden="1" customHeight="1" x14ac:dyDescent="0.25">
      <c r="A309" s="151">
        <f>IF((A308+1)&lt;=Outline!$E$12,A308+1,0)</f>
        <v>0</v>
      </c>
    </row>
    <row r="310" spans="1:1" ht="20.100000000000001" hidden="1" customHeight="1" x14ac:dyDescent="0.25">
      <c r="A310" s="151">
        <f>IF((A309+1)&lt;=Outline!$E$12,A309+1,0)</f>
        <v>1</v>
      </c>
    </row>
    <row r="311" spans="1:1" ht="20.100000000000001" hidden="1" customHeight="1" x14ac:dyDescent="0.25">
      <c r="A311" s="151">
        <f>IF((A310+1)&lt;=Outline!$E$12,A310+1,0)</f>
        <v>2</v>
      </c>
    </row>
    <row r="312" spans="1:1" ht="20.100000000000001" hidden="1" customHeight="1" x14ac:dyDescent="0.25">
      <c r="A312" s="151">
        <f>IF((A311+1)&lt;=Outline!$E$12,A311+1,0)</f>
        <v>3</v>
      </c>
    </row>
    <row r="313" spans="1:1" ht="20.100000000000001" hidden="1" customHeight="1" x14ac:dyDescent="0.25">
      <c r="A313" s="151">
        <f>IF((A312+1)&lt;=Outline!$E$12,A312+1,0)</f>
        <v>4</v>
      </c>
    </row>
    <row r="314" spans="1:1" ht="20.100000000000001" hidden="1" customHeight="1" x14ac:dyDescent="0.25">
      <c r="A314" s="151">
        <f>IF((A313+1)&lt;=Outline!$E$12,A313+1,0)</f>
        <v>5</v>
      </c>
    </row>
    <row r="315" spans="1:1" ht="20.100000000000001" hidden="1" customHeight="1" x14ac:dyDescent="0.25">
      <c r="A315" s="151">
        <f>IF((A314+1)&lt;=Outline!$E$12,A314+1,0)</f>
        <v>6</v>
      </c>
    </row>
    <row r="316" spans="1:1" ht="20.100000000000001" hidden="1" customHeight="1" x14ac:dyDescent="0.25">
      <c r="A316" s="151">
        <f>IF((A315+1)&lt;=Outline!$E$12,A315+1,0)</f>
        <v>7</v>
      </c>
    </row>
    <row r="317" spans="1:1" ht="20.100000000000001" hidden="1" customHeight="1" x14ac:dyDescent="0.25">
      <c r="A317" s="151">
        <f>IF((A316+1)&lt;=Outline!$E$12,A316+1,0)</f>
        <v>8</v>
      </c>
    </row>
    <row r="318" spans="1:1" ht="20.100000000000001" hidden="1" customHeight="1" x14ac:dyDescent="0.25">
      <c r="A318" s="151">
        <f>IF((A317+1)&lt;=Outline!$E$12,A317+1,0)</f>
        <v>9</v>
      </c>
    </row>
    <row r="319" spans="1:1" ht="20.100000000000001" hidden="1" customHeight="1" x14ac:dyDescent="0.25">
      <c r="A319" s="151">
        <f>IF((A318+1)&lt;=Outline!$E$12,A318+1,0)</f>
        <v>10</v>
      </c>
    </row>
    <row r="320" spans="1:1" ht="20.100000000000001" hidden="1" customHeight="1" x14ac:dyDescent="0.25">
      <c r="A320" s="151">
        <f>IF((A319+1)&lt;=Outline!$E$12,A319+1,0)</f>
        <v>11</v>
      </c>
    </row>
    <row r="321" spans="1:1" ht="20.100000000000001" hidden="1" customHeight="1" x14ac:dyDescent="0.25">
      <c r="A321" s="151">
        <f>IF((A320+1)&lt;=Outline!$E$12,A320+1,0)</f>
        <v>12</v>
      </c>
    </row>
    <row r="322" spans="1:1" ht="20.100000000000001" hidden="1" customHeight="1" x14ac:dyDescent="0.25">
      <c r="A322" s="151">
        <f>IF((A321+1)&lt;=Outline!$E$12,A321+1,0)</f>
        <v>13</v>
      </c>
    </row>
    <row r="323" spans="1:1" ht="20.100000000000001" hidden="1" customHeight="1" x14ac:dyDescent="0.25">
      <c r="A323" s="151">
        <f>IF((A322+1)&lt;=Outline!$E$12,A322+1,0)</f>
        <v>14</v>
      </c>
    </row>
    <row r="324" spans="1:1" ht="20.100000000000001" hidden="1" customHeight="1" x14ac:dyDescent="0.25">
      <c r="A324" s="151">
        <f>IF((A323+1)&lt;=Outline!$E$12,A323+1,0)</f>
        <v>15</v>
      </c>
    </row>
    <row r="325" spans="1:1" ht="20.100000000000001" hidden="1" customHeight="1" x14ac:dyDescent="0.25">
      <c r="A325" s="151">
        <f>IF((A324+1)&lt;=Outline!$E$12,A324+1,0)</f>
        <v>16</v>
      </c>
    </row>
    <row r="326" spans="1:1" ht="20.100000000000001" hidden="1" customHeight="1" x14ac:dyDescent="0.25">
      <c r="A326" s="151">
        <f>IF((A325+1)&lt;=Outline!$E$12,A325+1,0)</f>
        <v>17</v>
      </c>
    </row>
    <row r="327" spans="1:1" ht="20.100000000000001" hidden="1" customHeight="1" x14ac:dyDescent="0.25">
      <c r="A327" s="151">
        <f>IF((A326+1)&lt;=Outline!$E$12,A326+1,0)</f>
        <v>18</v>
      </c>
    </row>
    <row r="328" spans="1:1" ht="20.100000000000001" hidden="1" customHeight="1" x14ac:dyDescent="0.25">
      <c r="A328" s="151">
        <f>IF((A327+1)&lt;=Outline!$E$12,A327+1,0)</f>
        <v>19</v>
      </c>
    </row>
    <row r="329" spans="1:1" ht="20.100000000000001" hidden="1" customHeight="1" x14ac:dyDescent="0.25">
      <c r="A329" s="151">
        <f>IF((A328+1)&lt;=Outline!$E$12,A328+1,0)</f>
        <v>20</v>
      </c>
    </row>
    <row r="330" spans="1:1" ht="20.100000000000001" hidden="1" customHeight="1" x14ac:dyDescent="0.25">
      <c r="A330" s="151">
        <f>IF((A329+1)&lt;=Outline!$E$12,A329+1,0)</f>
        <v>21</v>
      </c>
    </row>
    <row r="331" spans="1:1" ht="20.100000000000001" hidden="1" customHeight="1" x14ac:dyDescent="0.25">
      <c r="A331" s="151">
        <f>IF((A330+1)&lt;=Outline!$E$12,A330+1,0)</f>
        <v>22</v>
      </c>
    </row>
    <row r="332" spans="1:1" ht="20.100000000000001" hidden="1" customHeight="1" x14ac:dyDescent="0.25">
      <c r="A332" s="151">
        <f>IF((A331+1)&lt;=Outline!$E$12,A331+1,0)</f>
        <v>23</v>
      </c>
    </row>
    <row r="333" spans="1:1" ht="20.100000000000001" hidden="1" customHeight="1" x14ac:dyDescent="0.25">
      <c r="A333" s="151">
        <f>IF((A332+1)&lt;=Outline!$E$12,A332+1,0)</f>
        <v>24</v>
      </c>
    </row>
    <row r="334" spans="1:1" ht="20.100000000000001" hidden="1" customHeight="1" x14ac:dyDescent="0.25">
      <c r="A334" s="151">
        <f>IF((A333+1)&lt;=Outline!$E$12,A333+1,0)</f>
        <v>25</v>
      </c>
    </row>
    <row r="335" spans="1:1" ht="20.100000000000001" hidden="1" customHeight="1" x14ac:dyDescent="0.25">
      <c r="A335" s="151">
        <f>IF((A334+1)&lt;=Outline!$E$12,A334+1,0)</f>
        <v>26</v>
      </c>
    </row>
    <row r="336" spans="1:1" ht="20.100000000000001" hidden="1" customHeight="1" x14ac:dyDescent="0.25">
      <c r="A336" s="151">
        <f>IF((A335+1)&lt;=Outline!$E$12,A335+1,0)</f>
        <v>27</v>
      </c>
    </row>
    <row r="337" spans="1:1" ht="20.100000000000001" hidden="1" customHeight="1" x14ac:dyDescent="0.25">
      <c r="A337" s="151">
        <f>IF((A336+1)&lt;=Outline!$E$12,A336+1,0)</f>
        <v>28</v>
      </c>
    </row>
    <row r="338" spans="1:1" ht="20.100000000000001" hidden="1" customHeight="1" x14ac:dyDescent="0.25">
      <c r="A338" s="151">
        <f>IF((A337+1)&lt;=Outline!$E$12,A337+1,0)</f>
        <v>29</v>
      </c>
    </row>
    <row r="339" spans="1:1" ht="20.100000000000001" hidden="1" customHeight="1" x14ac:dyDescent="0.25">
      <c r="A339" s="151">
        <f>IF((A338+1)&lt;=Outline!$E$12,A338+1,0)</f>
        <v>30</v>
      </c>
    </row>
    <row r="340" spans="1:1" ht="20.100000000000001" hidden="1" customHeight="1" x14ac:dyDescent="0.25">
      <c r="A340" s="151">
        <f>IF((A339+1)&lt;=Outline!$E$12,A339+1,0)</f>
        <v>31</v>
      </c>
    </row>
    <row r="341" spans="1:1" ht="20.100000000000001" hidden="1" customHeight="1" x14ac:dyDescent="0.25">
      <c r="A341" s="151">
        <f>IF((A340+1)&lt;=Outline!$E$12,A340+1,0)</f>
        <v>32</v>
      </c>
    </row>
    <row r="342" spans="1:1" ht="20.100000000000001" hidden="1" customHeight="1" x14ac:dyDescent="0.25">
      <c r="A342" s="151">
        <f>IF((A341+1)&lt;=Outline!$E$12,A341+1,0)</f>
        <v>33</v>
      </c>
    </row>
    <row r="343" spans="1:1" ht="20.100000000000001" hidden="1" customHeight="1" x14ac:dyDescent="0.25">
      <c r="A343" s="151">
        <f>IF((A342+1)&lt;=Outline!$E$12,A342+1,0)</f>
        <v>34</v>
      </c>
    </row>
    <row r="344" spans="1:1" ht="20.100000000000001" hidden="1" customHeight="1" x14ac:dyDescent="0.25">
      <c r="A344" s="151">
        <f>IF((A343+1)&lt;=Outline!$E$12,A343+1,0)</f>
        <v>35</v>
      </c>
    </row>
    <row r="345" spans="1:1" ht="20.100000000000001" hidden="1" customHeight="1" x14ac:dyDescent="0.25">
      <c r="A345" s="151">
        <f>IF((A344+1)&lt;=Outline!$E$12,A344+1,0)</f>
        <v>36</v>
      </c>
    </row>
    <row r="346" spans="1:1" ht="20.100000000000001" hidden="1" customHeight="1" x14ac:dyDescent="0.25">
      <c r="A346" s="151">
        <f>IF((A345+1)&lt;=Outline!$E$12,A345+1,0)</f>
        <v>37</v>
      </c>
    </row>
    <row r="347" spans="1:1" ht="20.100000000000001" hidden="1" customHeight="1" x14ac:dyDescent="0.25">
      <c r="A347" s="151">
        <f>IF((A346+1)&lt;=Outline!$E$12,A346+1,0)</f>
        <v>38</v>
      </c>
    </row>
    <row r="348" spans="1:1" ht="20.100000000000001" hidden="1" customHeight="1" x14ac:dyDescent="0.25">
      <c r="A348" s="151">
        <f>IF((A347+1)&lt;=Outline!$E$12,A347+1,0)</f>
        <v>39</v>
      </c>
    </row>
    <row r="349" spans="1:1" ht="20.100000000000001" hidden="1" customHeight="1" x14ac:dyDescent="0.25">
      <c r="A349" s="151">
        <f>IF((A348+1)&lt;=Outline!$E$12,A348+1,0)</f>
        <v>40</v>
      </c>
    </row>
    <row r="350" spans="1:1" ht="20.100000000000001" hidden="1" customHeight="1" x14ac:dyDescent="0.25">
      <c r="A350" s="151">
        <f>IF((A349+1)&lt;=Outline!$E$12,A349+1,0)</f>
        <v>41</v>
      </c>
    </row>
    <row r="351" spans="1:1" ht="20.100000000000001" hidden="1" customHeight="1" x14ac:dyDescent="0.25">
      <c r="A351" s="151">
        <f>IF((A350+1)&lt;=Outline!$E$12,A350+1,0)</f>
        <v>42</v>
      </c>
    </row>
    <row r="352" spans="1:1" ht="20.100000000000001" hidden="1" customHeight="1" x14ac:dyDescent="0.25">
      <c r="A352" s="151">
        <f>IF((A351+1)&lt;=Outline!$E$12,A351+1,0)</f>
        <v>0</v>
      </c>
    </row>
    <row r="353" spans="1:1" ht="20.100000000000001" hidden="1" customHeight="1" x14ac:dyDescent="0.25">
      <c r="A353" s="151">
        <f>IF((A352+1)&lt;=Outline!$E$12,A352+1,0)</f>
        <v>1</v>
      </c>
    </row>
    <row r="354" spans="1:1" ht="20.100000000000001" hidden="1" customHeight="1" x14ac:dyDescent="0.25">
      <c r="A354" s="151">
        <f>IF((A353+1)&lt;=Outline!$E$12,A353+1,0)</f>
        <v>2</v>
      </c>
    </row>
    <row r="355" spans="1:1" ht="20.100000000000001" hidden="1" customHeight="1" x14ac:dyDescent="0.25">
      <c r="A355" s="151">
        <f>IF((A354+1)&lt;=Outline!$E$12,A354+1,0)</f>
        <v>3</v>
      </c>
    </row>
    <row r="356" spans="1:1" ht="20.100000000000001" hidden="1" customHeight="1" x14ac:dyDescent="0.25">
      <c r="A356" s="151">
        <f>IF((A355+1)&lt;=Outline!$E$12,A355+1,0)</f>
        <v>4</v>
      </c>
    </row>
    <row r="357" spans="1:1" ht="20.100000000000001" hidden="1" customHeight="1" x14ac:dyDescent="0.25">
      <c r="A357" s="151">
        <f>IF((A356+1)&lt;=Outline!$E$12,A356+1,0)</f>
        <v>5</v>
      </c>
    </row>
    <row r="358" spans="1:1" ht="20.100000000000001" hidden="1" customHeight="1" x14ac:dyDescent="0.25">
      <c r="A358" s="151">
        <f>IF((A357+1)&lt;=Outline!$E$12,A357+1,0)</f>
        <v>6</v>
      </c>
    </row>
    <row r="359" spans="1:1" ht="20.100000000000001" hidden="1" customHeight="1" x14ac:dyDescent="0.25">
      <c r="A359" s="151">
        <f>IF((A358+1)&lt;=Outline!$E$12,A358+1,0)</f>
        <v>7</v>
      </c>
    </row>
    <row r="360" spans="1:1" ht="20.100000000000001" hidden="1" customHeight="1" x14ac:dyDescent="0.25">
      <c r="A360" s="151">
        <f>IF((A359+1)&lt;=Outline!$E$12,A359+1,0)</f>
        <v>8</v>
      </c>
    </row>
    <row r="361" spans="1:1" ht="20.100000000000001" hidden="1" customHeight="1" x14ac:dyDescent="0.25">
      <c r="A361" s="151">
        <f>IF((A360+1)&lt;=Outline!$E$12,A360+1,0)</f>
        <v>9</v>
      </c>
    </row>
    <row r="362" spans="1:1" ht="20.100000000000001" hidden="1" customHeight="1" x14ac:dyDescent="0.25">
      <c r="A362" s="151">
        <f>IF((A361+1)&lt;=Outline!$E$12,A361+1,0)</f>
        <v>10</v>
      </c>
    </row>
    <row r="363" spans="1:1" ht="20.100000000000001" hidden="1" customHeight="1" x14ac:dyDescent="0.25">
      <c r="A363" s="151">
        <f>IF((A362+1)&lt;=Outline!$E$12,A362+1,0)</f>
        <v>11</v>
      </c>
    </row>
    <row r="364" spans="1:1" ht="20.100000000000001" hidden="1" customHeight="1" x14ac:dyDescent="0.25">
      <c r="A364" s="151">
        <f>IF((A363+1)&lt;=Outline!$E$12,A363+1,0)</f>
        <v>12</v>
      </c>
    </row>
    <row r="365" spans="1:1" ht="20.100000000000001" hidden="1" customHeight="1" x14ac:dyDescent="0.25">
      <c r="A365" s="151">
        <f>IF((A364+1)&lt;=Outline!$E$12,A364+1,0)</f>
        <v>13</v>
      </c>
    </row>
    <row r="366" spans="1:1" ht="20.100000000000001" hidden="1" customHeight="1" x14ac:dyDescent="0.25">
      <c r="A366" s="151">
        <f>IF((A365+1)&lt;=Outline!$E$12,A365+1,0)</f>
        <v>14</v>
      </c>
    </row>
    <row r="367" spans="1:1" ht="20.100000000000001" hidden="1" customHeight="1" x14ac:dyDescent="0.25">
      <c r="A367" s="151">
        <f>IF((A366+1)&lt;=Outline!$E$12,A366+1,0)</f>
        <v>15</v>
      </c>
    </row>
    <row r="368" spans="1:1" ht="20.100000000000001" hidden="1" customHeight="1" x14ac:dyDescent="0.25">
      <c r="A368" s="151">
        <f>IF((A367+1)&lt;=Outline!$E$12,A367+1,0)</f>
        <v>16</v>
      </c>
    </row>
    <row r="369" spans="1:1" ht="20.100000000000001" hidden="1" customHeight="1" x14ac:dyDescent="0.25">
      <c r="A369" s="151">
        <f>IF((A368+1)&lt;=Outline!$E$12,A368+1,0)</f>
        <v>17</v>
      </c>
    </row>
    <row r="370" spans="1:1" ht="20.100000000000001" hidden="1" customHeight="1" x14ac:dyDescent="0.25">
      <c r="A370" s="151">
        <f>IF((A369+1)&lt;=Outline!$E$12,A369+1,0)</f>
        <v>18</v>
      </c>
    </row>
    <row r="371" spans="1:1" ht="20.100000000000001" hidden="1" customHeight="1" x14ac:dyDescent="0.25">
      <c r="A371" s="151">
        <f>IF((A370+1)&lt;=Outline!$E$12,A370+1,0)</f>
        <v>19</v>
      </c>
    </row>
    <row r="372" spans="1:1" ht="20.100000000000001" hidden="1" customHeight="1" x14ac:dyDescent="0.25">
      <c r="A372" s="151">
        <f>IF((A371+1)&lt;=Outline!$E$12,A371+1,0)</f>
        <v>20</v>
      </c>
    </row>
    <row r="373" spans="1:1" ht="20.100000000000001" hidden="1" customHeight="1" x14ac:dyDescent="0.25">
      <c r="A373" s="151">
        <f>IF((A372+1)&lt;=Outline!$E$12,A372+1,0)</f>
        <v>21</v>
      </c>
    </row>
    <row r="374" spans="1:1" ht="20.100000000000001" hidden="1" customHeight="1" x14ac:dyDescent="0.25">
      <c r="A374" s="151">
        <f>IF((A373+1)&lt;=Outline!$E$12,A373+1,0)</f>
        <v>22</v>
      </c>
    </row>
    <row r="375" spans="1:1" ht="20.100000000000001" hidden="1" customHeight="1" x14ac:dyDescent="0.25">
      <c r="A375" s="151">
        <f>IF((A374+1)&lt;=Outline!$E$12,A374+1,0)</f>
        <v>23</v>
      </c>
    </row>
    <row r="376" spans="1:1" ht="20.100000000000001" hidden="1" customHeight="1" x14ac:dyDescent="0.25">
      <c r="A376" s="151">
        <f>IF((A375+1)&lt;=Outline!$E$12,A375+1,0)</f>
        <v>24</v>
      </c>
    </row>
    <row r="377" spans="1:1" ht="20.100000000000001" hidden="1" customHeight="1" x14ac:dyDescent="0.25">
      <c r="A377" s="151">
        <f>IF((A376+1)&lt;=Outline!$E$12,A376+1,0)</f>
        <v>25</v>
      </c>
    </row>
    <row r="378" spans="1:1" ht="20.100000000000001" hidden="1" customHeight="1" x14ac:dyDescent="0.25">
      <c r="A378" s="151">
        <f>IF((A377+1)&lt;=Outline!$E$12,A377+1,0)</f>
        <v>26</v>
      </c>
    </row>
    <row r="379" spans="1:1" ht="20.100000000000001" hidden="1" customHeight="1" x14ac:dyDescent="0.25">
      <c r="A379" s="151">
        <f>IF((A378+1)&lt;=Outline!$E$12,A378+1,0)</f>
        <v>27</v>
      </c>
    </row>
    <row r="380" spans="1:1" ht="20.100000000000001" hidden="1" customHeight="1" x14ac:dyDescent="0.25">
      <c r="A380" s="151">
        <f>IF((A379+1)&lt;=Outline!$E$12,A379+1,0)</f>
        <v>28</v>
      </c>
    </row>
    <row r="381" spans="1:1" ht="20.100000000000001" hidden="1" customHeight="1" x14ac:dyDescent="0.25">
      <c r="A381" s="151">
        <f>IF((A380+1)&lt;=Outline!$E$12,A380+1,0)</f>
        <v>29</v>
      </c>
    </row>
    <row r="382" spans="1:1" ht="20.100000000000001" hidden="1" customHeight="1" x14ac:dyDescent="0.25">
      <c r="A382" s="151">
        <f>IF((A381+1)&lt;=Outline!$E$12,A381+1,0)</f>
        <v>30</v>
      </c>
    </row>
    <row r="383" spans="1:1" ht="20.100000000000001" hidden="1" customHeight="1" x14ac:dyDescent="0.25">
      <c r="A383" s="151">
        <f>IF((A382+1)&lt;=Outline!$E$12,A382+1,0)</f>
        <v>31</v>
      </c>
    </row>
    <row r="384" spans="1:1" ht="20.100000000000001" hidden="1" customHeight="1" x14ac:dyDescent="0.25">
      <c r="A384" s="151">
        <f>IF((A383+1)&lt;=Outline!$E$12,A383+1,0)</f>
        <v>32</v>
      </c>
    </row>
    <row r="385" spans="1:1" ht="20.100000000000001" hidden="1" customHeight="1" x14ac:dyDescent="0.25">
      <c r="A385" s="151">
        <f>IF((A384+1)&lt;=Outline!$E$12,A384+1,0)</f>
        <v>33</v>
      </c>
    </row>
    <row r="386" spans="1:1" ht="20.100000000000001" hidden="1" customHeight="1" x14ac:dyDescent="0.25">
      <c r="A386" s="151">
        <f>IF((A385+1)&lt;=Outline!$E$12,A385+1,0)</f>
        <v>34</v>
      </c>
    </row>
    <row r="387" spans="1:1" ht="20.100000000000001" hidden="1" customHeight="1" x14ac:dyDescent="0.25">
      <c r="A387" s="151">
        <f>IF((A386+1)&lt;=Outline!$E$12,A386+1,0)</f>
        <v>35</v>
      </c>
    </row>
    <row r="388" spans="1:1" ht="20.100000000000001" hidden="1" customHeight="1" x14ac:dyDescent="0.25">
      <c r="A388" s="151">
        <f>IF((A387+1)&lt;=Outline!$E$12,A387+1,0)</f>
        <v>36</v>
      </c>
    </row>
    <row r="389" spans="1:1" ht="20.100000000000001" hidden="1" customHeight="1" x14ac:dyDescent="0.25">
      <c r="A389" s="151">
        <f>IF((A388+1)&lt;=Outline!$E$12,A388+1,0)</f>
        <v>37</v>
      </c>
    </row>
    <row r="390" spans="1:1" ht="20.100000000000001" hidden="1" customHeight="1" x14ac:dyDescent="0.25">
      <c r="A390" s="151">
        <f>IF((A389+1)&lt;=Outline!$E$12,A389+1,0)</f>
        <v>38</v>
      </c>
    </row>
    <row r="391" spans="1:1" ht="20.100000000000001" hidden="1" customHeight="1" x14ac:dyDescent="0.25">
      <c r="A391" s="151">
        <f>IF((A390+1)&lt;=Outline!$E$12,A390+1,0)</f>
        <v>39</v>
      </c>
    </row>
    <row r="392" spans="1:1" ht="20.100000000000001" hidden="1" customHeight="1" x14ac:dyDescent="0.25">
      <c r="A392" s="151">
        <f>IF((A391+1)&lt;=Outline!$E$12,A391+1,0)</f>
        <v>40</v>
      </c>
    </row>
    <row r="393" spans="1:1" ht="20.100000000000001" hidden="1" customHeight="1" x14ac:dyDescent="0.25">
      <c r="A393" s="151">
        <f>IF((A392+1)&lt;=Outline!$E$12,A392+1,0)</f>
        <v>41</v>
      </c>
    </row>
    <row r="394" spans="1:1" ht="20.100000000000001" hidden="1" customHeight="1" x14ac:dyDescent="0.25">
      <c r="A394" s="151">
        <f>IF((A393+1)&lt;=Outline!$E$12,A393+1,0)</f>
        <v>42</v>
      </c>
    </row>
    <row r="395" spans="1:1" ht="20.100000000000001" hidden="1" customHeight="1" x14ac:dyDescent="0.25">
      <c r="A395" s="151">
        <f>IF((A394+1)&lt;=Outline!$E$12,A394+1,0)</f>
        <v>0</v>
      </c>
    </row>
    <row r="396" spans="1:1" ht="20.100000000000001" hidden="1" customHeight="1" x14ac:dyDescent="0.25">
      <c r="A396" s="151">
        <f>IF((A395+1)&lt;=Outline!$E$12,A395+1,0)</f>
        <v>1</v>
      </c>
    </row>
    <row r="397" spans="1:1" ht="20.100000000000001" hidden="1" customHeight="1" x14ac:dyDescent="0.25">
      <c r="A397" s="151">
        <f>IF((A396+1)&lt;=Outline!$E$12,A396+1,0)</f>
        <v>2</v>
      </c>
    </row>
    <row r="398" spans="1:1" ht="20.100000000000001" hidden="1" customHeight="1" x14ac:dyDescent="0.25">
      <c r="A398" s="151">
        <f>IF((A397+1)&lt;=Outline!$E$12,A397+1,0)</f>
        <v>3</v>
      </c>
    </row>
    <row r="399" spans="1:1" ht="20.100000000000001" hidden="1" customHeight="1" x14ac:dyDescent="0.25">
      <c r="A399" s="151">
        <f>IF((A398+1)&lt;=Outline!$E$12,A398+1,0)</f>
        <v>4</v>
      </c>
    </row>
    <row r="400" spans="1:1" ht="20.100000000000001" hidden="1" customHeight="1" x14ac:dyDescent="0.25">
      <c r="A400" s="151">
        <f>IF((A399+1)&lt;=Outline!$E$12,A399+1,0)</f>
        <v>5</v>
      </c>
    </row>
    <row r="401" spans="1:1" ht="20.100000000000001" hidden="1" customHeight="1" x14ac:dyDescent="0.25">
      <c r="A401" s="151">
        <f>IF((A400+1)&lt;=Outline!$E$12,A400+1,0)</f>
        <v>6</v>
      </c>
    </row>
    <row r="402" spans="1:1" ht="20.100000000000001" hidden="1" customHeight="1" x14ac:dyDescent="0.25">
      <c r="A402" s="151">
        <f>IF((A401+1)&lt;=Outline!$E$12,A401+1,0)</f>
        <v>7</v>
      </c>
    </row>
    <row r="403" spans="1:1" ht="20.100000000000001" hidden="1" customHeight="1" x14ac:dyDescent="0.25">
      <c r="A403" s="151">
        <f>IF((A402+1)&lt;=Outline!$E$12,A402+1,0)</f>
        <v>8</v>
      </c>
    </row>
    <row r="404" spans="1:1" ht="20.100000000000001" hidden="1" customHeight="1" x14ac:dyDescent="0.25">
      <c r="A404" s="151">
        <f>IF((A403+1)&lt;=Outline!$E$12,A403+1,0)</f>
        <v>9</v>
      </c>
    </row>
    <row r="405" spans="1:1" ht="20.100000000000001" hidden="1" customHeight="1" x14ac:dyDescent="0.25">
      <c r="A405" s="151">
        <f>IF((A404+1)&lt;=Outline!$E$12,A404+1,0)</f>
        <v>10</v>
      </c>
    </row>
    <row r="406" spans="1:1" ht="20.100000000000001" hidden="1" customHeight="1" x14ac:dyDescent="0.25">
      <c r="A406" s="151">
        <f>IF((A405+1)&lt;=Outline!$E$12,A405+1,0)</f>
        <v>11</v>
      </c>
    </row>
    <row r="407" spans="1:1" ht="20.100000000000001" hidden="1" customHeight="1" x14ac:dyDescent="0.25">
      <c r="A407" s="151">
        <f>IF((A406+1)&lt;=Outline!$E$12,A406+1,0)</f>
        <v>12</v>
      </c>
    </row>
    <row r="408" spans="1:1" ht="20.100000000000001" hidden="1" customHeight="1" x14ac:dyDescent="0.25">
      <c r="A408" s="151">
        <f>IF((A407+1)&lt;=Outline!$E$12,A407+1,0)</f>
        <v>13</v>
      </c>
    </row>
    <row r="409" spans="1:1" ht="20.100000000000001" hidden="1" customHeight="1" x14ac:dyDescent="0.25">
      <c r="A409" s="151">
        <f>IF((A408+1)&lt;=Outline!$E$12,A408+1,0)</f>
        <v>14</v>
      </c>
    </row>
    <row r="410" spans="1:1" ht="20.100000000000001" hidden="1" customHeight="1" x14ac:dyDescent="0.25">
      <c r="A410" s="151">
        <f>IF((A409+1)&lt;=Outline!$E$12,A409+1,0)</f>
        <v>15</v>
      </c>
    </row>
    <row r="411" spans="1:1" ht="20.100000000000001" hidden="1" customHeight="1" x14ac:dyDescent="0.25">
      <c r="A411" s="151">
        <f>IF((A410+1)&lt;=Outline!$E$12,A410+1,0)</f>
        <v>16</v>
      </c>
    </row>
    <row r="412" spans="1:1" ht="20.100000000000001" hidden="1" customHeight="1" x14ac:dyDescent="0.25">
      <c r="A412" s="151">
        <f>IF((A411+1)&lt;=Outline!$E$12,A411+1,0)</f>
        <v>17</v>
      </c>
    </row>
    <row r="413" spans="1:1" ht="20.100000000000001" hidden="1" customHeight="1" x14ac:dyDescent="0.25">
      <c r="A413" s="151">
        <f>IF((A412+1)&lt;=Outline!$E$12,A412+1,0)</f>
        <v>18</v>
      </c>
    </row>
    <row r="414" spans="1:1" ht="20.100000000000001" hidden="1" customHeight="1" x14ac:dyDescent="0.25">
      <c r="A414" s="151">
        <f>IF((A413+1)&lt;=Outline!$E$12,A413+1,0)</f>
        <v>19</v>
      </c>
    </row>
    <row r="415" spans="1:1" ht="20.100000000000001" hidden="1" customHeight="1" x14ac:dyDescent="0.25">
      <c r="A415" s="151">
        <f>IF((A414+1)&lt;=Outline!$E$12,A414+1,0)</f>
        <v>20</v>
      </c>
    </row>
    <row r="416" spans="1:1" ht="20.100000000000001" hidden="1" customHeight="1" x14ac:dyDescent="0.25">
      <c r="A416" s="151">
        <f>IF((A415+1)&lt;=Outline!$E$12,A415+1,0)</f>
        <v>21</v>
      </c>
    </row>
    <row r="417" spans="1:1" ht="20.100000000000001" hidden="1" customHeight="1" x14ac:dyDescent="0.25">
      <c r="A417" s="151">
        <f>IF((A416+1)&lt;=Outline!$E$12,A416+1,0)</f>
        <v>22</v>
      </c>
    </row>
    <row r="418" spans="1:1" ht="20.100000000000001" hidden="1" customHeight="1" x14ac:dyDescent="0.25">
      <c r="A418" s="151">
        <f>IF((A417+1)&lt;=Outline!$E$12,A417+1,0)</f>
        <v>23</v>
      </c>
    </row>
    <row r="419" spans="1:1" ht="20.100000000000001" hidden="1" customHeight="1" x14ac:dyDescent="0.25">
      <c r="A419" s="151">
        <f>IF((A418+1)&lt;=Outline!$E$12,A418+1,0)</f>
        <v>24</v>
      </c>
    </row>
    <row r="420" spans="1:1" ht="20.100000000000001" hidden="1" customHeight="1" x14ac:dyDescent="0.25">
      <c r="A420" s="151">
        <f>IF((A419+1)&lt;=Outline!$E$12,A419+1,0)</f>
        <v>25</v>
      </c>
    </row>
    <row r="421" spans="1:1" ht="20.100000000000001" hidden="1" customHeight="1" x14ac:dyDescent="0.25">
      <c r="A421" s="151">
        <f>IF((A420+1)&lt;=Outline!$E$12,A420+1,0)</f>
        <v>26</v>
      </c>
    </row>
    <row r="422" spans="1:1" ht="20.100000000000001" hidden="1" customHeight="1" x14ac:dyDescent="0.25">
      <c r="A422" s="151">
        <f>IF((A421+1)&lt;=Outline!$E$12,A421+1,0)</f>
        <v>27</v>
      </c>
    </row>
    <row r="423" spans="1:1" ht="20.100000000000001" hidden="1" customHeight="1" x14ac:dyDescent="0.25">
      <c r="A423" s="151">
        <f>IF((A422+1)&lt;=Outline!$E$12,A422+1,0)</f>
        <v>28</v>
      </c>
    </row>
    <row r="424" spans="1:1" ht="20.100000000000001" hidden="1" customHeight="1" x14ac:dyDescent="0.25">
      <c r="A424" s="151">
        <f>IF((A423+1)&lt;=Outline!$E$12,A423+1,0)</f>
        <v>29</v>
      </c>
    </row>
    <row r="425" spans="1:1" ht="20.100000000000001" hidden="1" customHeight="1" x14ac:dyDescent="0.25">
      <c r="A425" s="151">
        <f>IF((A424+1)&lt;=Outline!$E$12,A424+1,0)</f>
        <v>30</v>
      </c>
    </row>
    <row r="426" spans="1:1" ht="20.100000000000001" hidden="1" customHeight="1" x14ac:dyDescent="0.25">
      <c r="A426" s="151">
        <f>IF((A425+1)&lt;=Outline!$E$12,A425+1,0)</f>
        <v>31</v>
      </c>
    </row>
    <row r="427" spans="1:1" ht="20.100000000000001" hidden="1" customHeight="1" x14ac:dyDescent="0.25">
      <c r="A427" s="151">
        <f>IF((A426+1)&lt;=Outline!$E$12,A426+1,0)</f>
        <v>32</v>
      </c>
    </row>
    <row r="428" spans="1:1" ht="20.100000000000001" hidden="1" customHeight="1" x14ac:dyDescent="0.25">
      <c r="A428" s="151">
        <f>IF((A427+1)&lt;=Outline!$E$12,A427+1,0)</f>
        <v>33</v>
      </c>
    </row>
    <row r="429" spans="1:1" ht="20.100000000000001" hidden="1" customHeight="1" x14ac:dyDescent="0.25">
      <c r="A429" s="151">
        <f>IF((A428+1)&lt;=Outline!$E$12,A428+1,0)</f>
        <v>34</v>
      </c>
    </row>
    <row r="430" spans="1:1" ht="20.100000000000001" hidden="1" customHeight="1" x14ac:dyDescent="0.25">
      <c r="A430" s="151">
        <f>IF((A429+1)&lt;=Outline!$E$12,A429+1,0)</f>
        <v>35</v>
      </c>
    </row>
    <row r="431" spans="1:1" ht="20.100000000000001" hidden="1" customHeight="1" x14ac:dyDescent="0.25">
      <c r="A431" s="151">
        <f>IF((A430+1)&lt;=Outline!$E$12,A430+1,0)</f>
        <v>36</v>
      </c>
    </row>
    <row r="432" spans="1:1" ht="20.100000000000001" hidden="1" customHeight="1" x14ac:dyDescent="0.25">
      <c r="A432" s="151">
        <f>IF((A431+1)&lt;=Outline!$E$12,A431+1,0)</f>
        <v>37</v>
      </c>
    </row>
    <row r="433" spans="1:1" ht="20.100000000000001" hidden="1" customHeight="1" x14ac:dyDescent="0.25">
      <c r="A433" s="151">
        <f>IF((A432+1)&lt;=Outline!$E$12,A432+1,0)</f>
        <v>38</v>
      </c>
    </row>
    <row r="434" spans="1:1" ht="20.100000000000001" hidden="1" customHeight="1" x14ac:dyDescent="0.25">
      <c r="A434" s="151">
        <f>IF((A433+1)&lt;=Outline!$E$12,A433+1,0)</f>
        <v>39</v>
      </c>
    </row>
    <row r="435" spans="1:1" ht="20.100000000000001" hidden="1" customHeight="1" x14ac:dyDescent="0.25">
      <c r="A435" s="151">
        <f>IF((A434+1)&lt;=Outline!$E$12,A434+1,0)</f>
        <v>40</v>
      </c>
    </row>
    <row r="436" spans="1:1" ht="20.100000000000001" hidden="1" customHeight="1" x14ac:dyDescent="0.25">
      <c r="A436" s="151">
        <f>IF((A435+1)&lt;=Outline!$E$12,A435+1,0)</f>
        <v>41</v>
      </c>
    </row>
    <row r="437" spans="1:1" ht="20.100000000000001" hidden="1" customHeight="1" x14ac:dyDescent="0.25">
      <c r="A437" s="151">
        <f>IF((A436+1)&lt;=Outline!$E$12,A436+1,0)</f>
        <v>42</v>
      </c>
    </row>
    <row r="438" spans="1:1" ht="20.100000000000001" hidden="1" customHeight="1" x14ac:dyDescent="0.25">
      <c r="A438" s="151">
        <f>IF((A437+1)&lt;=Outline!$E$12,A437+1,0)</f>
        <v>0</v>
      </c>
    </row>
    <row r="439" spans="1:1" ht="20.100000000000001" hidden="1" customHeight="1" x14ac:dyDescent="0.25">
      <c r="A439" s="151">
        <f>IF((A438+1)&lt;=Outline!$E$12,A438+1,0)</f>
        <v>1</v>
      </c>
    </row>
    <row r="440" spans="1:1" ht="20.100000000000001" hidden="1" customHeight="1" x14ac:dyDescent="0.25">
      <c r="A440" s="151">
        <f>IF((A439+1)&lt;=Outline!$E$12,A439+1,0)</f>
        <v>2</v>
      </c>
    </row>
    <row r="441" spans="1:1" ht="20.100000000000001" hidden="1" customHeight="1" x14ac:dyDescent="0.25">
      <c r="A441" s="151">
        <f>IF((A440+1)&lt;=Outline!$E$12,A440+1,0)</f>
        <v>3</v>
      </c>
    </row>
    <row r="442" spans="1:1" ht="20.100000000000001" hidden="1" customHeight="1" x14ac:dyDescent="0.25">
      <c r="A442" s="151">
        <f>IF((A441+1)&lt;=Outline!$E$12,A441+1,0)</f>
        <v>4</v>
      </c>
    </row>
    <row r="443" spans="1:1" ht="20.100000000000001" hidden="1" customHeight="1" x14ac:dyDescent="0.25">
      <c r="A443" s="151">
        <f>IF((A442+1)&lt;=Outline!$E$12,A442+1,0)</f>
        <v>5</v>
      </c>
    </row>
    <row r="444" spans="1:1" ht="20.100000000000001" hidden="1" customHeight="1" x14ac:dyDescent="0.25">
      <c r="A444" s="151">
        <f>IF((A443+1)&lt;=Outline!$E$12,A443+1,0)</f>
        <v>6</v>
      </c>
    </row>
    <row r="445" spans="1:1" ht="20.100000000000001" hidden="1" customHeight="1" x14ac:dyDescent="0.25">
      <c r="A445" s="151">
        <f>IF((A444+1)&lt;=Outline!$E$12,A444+1,0)</f>
        <v>7</v>
      </c>
    </row>
    <row r="446" spans="1:1" ht="20.100000000000001" hidden="1" customHeight="1" x14ac:dyDescent="0.25">
      <c r="A446" s="151">
        <f>IF((A445+1)&lt;=Outline!$E$12,A445+1,0)</f>
        <v>8</v>
      </c>
    </row>
    <row r="447" spans="1:1" ht="20.100000000000001" hidden="1" customHeight="1" x14ac:dyDescent="0.25">
      <c r="A447" s="151">
        <f>IF((A446+1)&lt;=Outline!$E$12,A446+1,0)</f>
        <v>9</v>
      </c>
    </row>
    <row r="448" spans="1:1" ht="20.100000000000001" hidden="1" customHeight="1" x14ac:dyDescent="0.25">
      <c r="A448" s="151">
        <f>IF((A447+1)&lt;=Outline!$E$12,A447+1,0)</f>
        <v>10</v>
      </c>
    </row>
    <row r="449" spans="1:1" ht="20.100000000000001" hidden="1" customHeight="1" x14ac:dyDescent="0.25">
      <c r="A449" s="151">
        <f>IF((A448+1)&lt;=Outline!$E$12,A448+1,0)</f>
        <v>11</v>
      </c>
    </row>
    <row r="450" spans="1:1" ht="20.100000000000001" hidden="1" customHeight="1" x14ac:dyDescent="0.25">
      <c r="A450" s="151">
        <f>IF((A449+1)&lt;=Outline!$E$12,A449+1,0)</f>
        <v>12</v>
      </c>
    </row>
    <row r="451" spans="1:1" ht="20.100000000000001" hidden="1" customHeight="1" x14ac:dyDescent="0.25">
      <c r="A451" s="151">
        <f>IF((A450+1)&lt;=Outline!$E$12,A450+1,0)</f>
        <v>13</v>
      </c>
    </row>
    <row r="452" spans="1:1" ht="20.100000000000001" hidden="1" customHeight="1" x14ac:dyDescent="0.25">
      <c r="A452" s="151">
        <f>IF((A451+1)&lt;=Outline!$E$12,A451+1,0)</f>
        <v>14</v>
      </c>
    </row>
    <row r="453" spans="1:1" ht="20.100000000000001" hidden="1" customHeight="1" x14ac:dyDescent="0.25">
      <c r="A453" s="151">
        <f>IF((A452+1)&lt;=Outline!$E$12,A452+1,0)</f>
        <v>15</v>
      </c>
    </row>
    <row r="454" spans="1:1" ht="20.100000000000001" hidden="1" customHeight="1" x14ac:dyDescent="0.25">
      <c r="A454" s="151">
        <f>IF((A453+1)&lt;=Outline!$E$12,A453+1,0)</f>
        <v>16</v>
      </c>
    </row>
    <row r="455" spans="1:1" ht="20.100000000000001" hidden="1" customHeight="1" x14ac:dyDescent="0.25">
      <c r="A455" s="151">
        <f>IF((A454+1)&lt;=Outline!$E$12,A454+1,0)</f>
        <v>17</v>
      </c>
    </row>
    <row r="456" spans="1:1" ht="20.100000000000001" hidden="1" customHeight="1" x14ac:dyDescent="0.25">
      <c r="A456" s="151">
        <f>IF((A455+1)&lt;=Outline!$E$12,A455+1,0)</f>
        <v>18</v>
      </c>
    </row>
    <row r="457" spans="1:1" ht="20.100000000000001" hidden="1" customHeight="1" x14ac:dyDescent="0.25">
      <c r="A457" s="151">
        <f>IF((A456+1)&lt;=Outline!$E$12,A456+1,0)</f>
        <v>19</v>
      </c>
    </row>
    <row r="458" spans="1:1" ht="20.100000000000001" hidden="1" customHeight="1" x14ac:dyDescent="0.25">
      <c r="A458" s="151">
        <f>IF((A457+1)&lt;=Outline!$E$12,A457+1,0)</f>
        <v>20</v>
      </c>
    </row>
    <row r="459" spans="1:1" ht="20.100000000000001" hidden="1" customHeight="1" x14ac:dyDescent="0.25">
      <c r="A459" s="151">
        <f>IF((A458+1)&lt;=Outline!$E$12,A458+1,0)</f>
        <v>21</v>
      </c>
    </row>
    <row r="460" spans="1:1" ht="20.100000000000001" hidden="1" customHeight="1" x14ac:dyDescent="0.25">
      <c r="A460" s="151">
        <f>IF((A459+1)&lt;=Outline!$E$12,A459+1,0)</f>
        <v>22</v>
      </c>
    </row>
    <row r="461" spans="1:1" ht="20.100000000000001" hidden="1" customHeight="1" x14ac:dyDescent="0.25">
      <c r="A461" s="151">
        <f>IF((A460+1)&lt;=Outline!$E$12,A460+1,0)</f>
        <v>23</v>
      </c>
    </row>
    <row r="462" spans="1:1" ht="20.100000000000001" hidden="1" customHeight="1" x14ac:dyDescent="0.25">
      <c r="A462" s="151">
        <f>IF((A461+1)&lt;=Outline!$E$12,A461+1,0)</f>
        <v>24</v>
      </c>
    </row>
    <row r="463" spans="1:1" ht="20.100000000000001" hidden="1" customHeight="1" x14ac:dyDescent="0.25">
      <c r="A463" s="151">
        <f>IF((A462+1)&lt;=Outline!$E$12,A462+1,0)</f>
        <v>25</v>
      </c>
    </row>
    <row r="464" spans="1:1" ht="20.100000000000001" hidden="1" customHeight="1" x14ac:dyDescent="0.25">
      <c r="A464" s="151">
        <f>IF((A463+1)&lt;=Outline!$E$12,A463+1,0)</f>
        <v>26</v>
      </c>
    </row>
    <row r="465" spans="1:1" ht="20.100000000000001" hidden="1" customHeight="1" x14ac:dyDescent="0.25">
      <c r="A465" s="151">
        <f>IF((A464+1)&lt;=Outline!$E$12,A464+1,0)</f>
        <v>27</v>
      </c>
    </row>
    <row r="466" spans="1:1" ht="20.100000000000001" hidden="1" customHeight="1" x14ac:dyDescent="0.25">
      <c r="A466" s="151">
        <f>IF((A465+1)&lt;=Outline!$E$12,A465+1,0)</f>
        <v>28</v>
      </c>
    </row>
    <row r="467" spans="1:1" ht="20.100000000000001" hidden="1" customHeight="1" x14ac:dyDescent="0.25">
      <c r="A467" s="151">
        <f>IF((A466+1)&lt;=Outline!$E$12,A466+1,0)</f>
        <v>29</v>
      </c>
    </row>
    <row r="468" spans="1:1" ht="20.100000000000001" hidden="1" customHeight="1" x14ac:dyDescent="0.25">
      <c r="A468" s="151">
        <f>IF((A467+1)&lt;=Outline!$E$12,A467+1,0)</f>
        <v>30</v>
      </c>
    </row>
    <row r="469" spans="1:1" ht="20.100000000000001" hidden="1" customHeight="1" x14ac:dyDescent="0.25">
      <c r="A469" s="151">
        <f>IF((A468+1)&lt;=Outline!$E$12,A468+1,0)</f>
        <v>31</v>
      </c>
    </row>
    <row r="470" spans="1:1" ht="20.100000000000001" hidden="1" customHeight="1" x14ac:dyDescent="0.25">
      <c r="A470" s="151">
        <f>IF((A469+1)&lt;=Outline!$E$12,A469+1,0)</f>
        <v>32</v>
      </c>
    </row>
    <row r="471" spans="1:1" ht="20.100000000000001" hidden="1" customHeight="1" x14ac:dyDescent="0.25">
      <c r="A471" s="151">
        <f>IF((A470+1)&lt;=Outline!$E$12,A470+1,0)</f>
        <v>33</v>
      </c>
    </row>
    <row r="472" spans="1:1" ht="20.100000000000001" hidden="1" customHeight="1" x14ac:dyDescent="0.25">
      <c r="A472" s="151">
        <f>IF((A471+1)&lt;=Outline!$E$12,A471+1,0)</f>
        <v>34</v>
      </c>
    </row>
    <row r="473" spans="1:1" ht="20.100000000000001" hidden="1" customHeight="1" x14ac:dyDescent="0.25">
      <c r="A473" s="151">
        <f>IF((A472+1)&lt;=Outline!$E$12,A472+1,0)</f>
        <v>35</v>
      </c>
    </row>
    <row r="474" spans="1:1" ht="20.100000000000001" hidden="1" customHeight="1" x14ac:dyDescent="0.25">
      <c r="A474" s="151">
        <f>IF((A473+1)&lt;=Outline!$E$12,A473+1,0)</f>
        <v>36</v>
      </c>
    </row>
    <row r="475" spans="1:1" ht="20.100000000000001" hidden="1" customHeight="1" x14ac:dyDescent="0.25">
      <c r="A475" s="151">
        <f>IF((A474+1)&lt;=Outline!$E$12,A474+1,0)</f>
        <v>37</v>
      </c>
    </row>
    <row r="476" spans="1:1" ht="20.100000000000001" hidden="1" customHeight="1" x14ac:dyDescent="0.25">
      <c r="A476" s="151">
        <f>IF((A475+1)&lt;=Outline!$E$12,A475+1,0)</f>
        <v>38</v>
      </c>
    </row>
    <row r="477" spans="1:1" ht="20.100000000000001" hidden="1" customHeight="1" x14ac:dyDescent="0.25">
      <c r="A477" s="151">
        <f>IF((A476+1)&lt;=Outline!$E$12,A476+1,0)</f>
        <v>39</v>
      </c>
    </row>
    <row r="478" spans="1:1" ht="20.100000000000001" hidden="1" customHeight="1" x14ac:dyDescent="0.25">
      <c r="A478" s="151">
        <f>IF((A477+1)&lt;=Outline!$E$12,A477+1,0)</f>
        <v>40</v>
      </c>
    </row>
    <row r="479" spans="1:1" ht="20.100000000000001" hidden="1" customHeight="1" x14ac:dyDescent="0.25">
      <c r="A479" s="151">
        <f>IF((A478+1)&lt;=Outline!$E$12,A478+1,0)</f>
        <v>41</v>
      </c>
    </row>
    <row r="480" spans="1:1" ht="20.100000000000001" hidden="1" customHeight="1" x14ac:dyDescent="0.25">
      <c r="A480" s="151">
        <f>IF((A479+1)&lt;=Outline!$E$12,A479+1,0)</f>
        <v>42</v>
      </c>
    </row>
    <row r="481" spans="1:1" ht="20.100000000000001" hidden="1" customHeight="1" x14ac:dyDescent="0.25">
      <c r="A481" s="151">
        <f>IF((A480+1)&lt;=Outline!$E$12,A480+1,0)</f>
        <v>0</v>
      </c>
    </row>
    <row r="482" spans="1:1" ht="20.100000000000001" hidden="1" customHeight="1" x14ac:dyDescent="0.25">
      <c r="A482" s="151">
        <f>IF((A481+1)&lt;=Outline!$E$12,A481+1,0)</f>
        <v>1</v>
      </c>
    </row>
    <row r="483" spans="1:1" ht="20.100000000000001" hidden="1" customHeight="1" x14ac:dyDescent="0.25">
      <c r="A483" s="151">
        <f>IF((A482+1)&lt;=Outline!$E$12,A482+1,0)</f>
        <v>2</v>
      </c>
    </row>
    <row r="484" spans="1:1" ht="20.100000000000001" hidden="1" customHeight="1" x14ac:dyDescent="0.25">
      <c r="A484" s="151">
        <f>IF((A483+1)&lt;=Outline!$E$12,A483+1,0)</f>
        <v>3</v>
      </c>
    </row>
    <row r="485" spans="1:1" ht="20.100000000000001" hidden="1" customHeight="1" x14ac:dyDescent="0.25">
      <c r="A485" s="151">
        <f>IF((A484+1)&lt;=Outline!$E$12,A484+1,0)</f>
        <v>4</v>
      </c>
    </row>
    <row r="486" spans="1:1" ht="20.100000000000001" hidden="1" customHeight="1" x14ac:dyDescent="0.25">
      <c r="A486" s="151">
        <f>IF((A485+1)&lt;=Outline!$E$12,A485+1,0)</f>
        <v>5</v>
      </c>
    </row>
    <row r="487" spans="1:1" ht="20.100000000000001" hidden="1" customHeight="1" x14ac:dyDescent="0.25">
      <c r="A487" s="151">
        <f>IF((A486+1)&lt;=Outline!$E$12,A486+1,0)</f>
        <v>6</v>
      </c>
    </row>
    <row r="488" spans="1:1" ht="20.100000000000001" hidden="1" customHeight="1" x14ac:dyDescent="0.25">
      <c r="A488" s="151">
        <f>IF((A487+1)&lt;=Outline!$E$12,A487+1,0)</f>
        <v>7</v>
      </c>
    </row>
    <row r="489" spans="1:1" ht="20.100000000000001" hidden="1" customHeight="1" x14ac:dyDescent="0.25">
      <c r="A489" s="151">
        <f>IF((A488+1)&lt;=Outline!$E$12,A488+1,0)</f>
        <v>8</v>
      </c>
    </row>
    <row r="490" spans="1:1" ht="20.100000000000001" hidden="1" customHeight="1" x14ac:dyDescent="0.25">
      <c r="A490" s="151">
        <f>IF((A489+1)&lt;=Outline!$E$12,A489+1,0)</f>
        <v>9</v>
      </c>
    </row>
    <row r="491" spans="1:1" ht="20.100000000000001" hidden="1" customHeight="1" x14ac:dyDescent="0.25">
      <c r="A491" s="151">
        <f>IF((A490+1)&lt;=Outline!$E$12,A490+1,0)</f>
        <v>10</v>
      </c>
    </row>
    <row r="492" spans="1:1" ht="20.100000000000001" hidden="1" customHeight="1" x14ac:dyDescent="0.25">
      <c r="A492" s="151">
        <f>IF((A491+1)&lt;=Outline!$E$12,A491+1,0)</f>
        <v>11</v>
      </c>
    </row>
    <row r="493" spans="1:1" ht="20.100000000000001" hidden="1" customHeight="1" x14ac:dyDescent="0.25">
      <c r="A493" s="151">
        <f>IF((A492+1)&lt;=Outline!$E$12,A492+1,0)</f>
        <v>12</v>
      </c>
    </row>
    <row r="494" spans="1:1" ht="20.100000000000001" hidden="1" customHeight="1" x14ac:dyDescent="0.25">
      <c r="A494" s="151">
        <f>IF((A493+1)&lt;=Outline!$E$12,A493+1,0)</f>
        <v>13</v>
      </c>
    </row>
    <row r="495" spans="1:1" ht="20.100000000000001" hidden="1" customHeight="1" x14ac:dyDescent="0.25">
      <c r="A495" s="151">
        <f>IF((A494+1)&lt;=Outline!$E$12,A494+1,0)</f>
        <v>14</v>
      </c>
    </row>
    <row r="496" spans="1:1" ht="20.100000000000001" hidden="1" customHeight="1" x14ac:dyDescent="0.25">
      <c r="A496" s="151">
        <f>IF((A495+1)&lt;=Outline!$E$12,A495+1,0)</f>
        <v>15</v>
      </c>
    </row>
    <row r="497" spans="1:1" ht="20.100000000000001" hidden="1" customHeight="1" x14ac:dyDescent="0.25">
      <c r="A497" s="151">
        <f>IF((A496+1)&lt;=Outline!$E$12,A496+1,0)</f>
        <v>16</v>
      </c>
    </row>
    <row r="498" spans="1:1" ht="20.100000000000001" hidden="1" customHeight="1" x14ac:dyDescent="0.25">
      <c r="A498" s="151">
        <f>IF((A497+1)&lt;=Outline!$E$12,A497+1,0)</f>
        <v>17</v>
      </c>
    </row>
    <row r="499" spans="1:1" ht="20.100000000000001" hidden="1" customHeight="1" x14ac:dyDescent="0.25">
      <c r="A499" s="151">
        <f>IF((A498+1)&lt;=Outline!$E$12,A498+1,0)</f>
        <v>18</v>
      </c>
    </row>
    <row r="500" spans="1:1" ht="20.100000000000001" hidden="1" customHeight="1" x14ac:dyDescent="0.25">
      <c r="A500" s="151">
        <f>IF((A499+1)&lt;=Outline!$E$12,A499+1,0)</f>
        <v>19</v>
      </c>
    </row>
    <row r="501" spans="1:1" ht="20.100000000000001" hidden="1" customHeight="1" x14ac:dyDescent="0.25">
      <c r="A501" s="151">
        <f>IF((A500+1)&lt;=Outline!$E$12,A500+1,0)</f>
        <v>20</v>
      </c>
    </row>
    <row r="502" spans="1:1" ht="20.100000000000001" hidden="1" customHeight="1" x14ac:dyDescent="0.25">
      <c r="A502" s="151">
        <f>IF((A501+1)&lt;=Outline!$E$12,A501+1,0)</f>
        <v>21</v>
      </c>
    </row>
    <row r="503" spans="1:1" ht="20.100000000000001" hidden="1" customHeight="1" x14ac:dyDescent="0.25">
      <c r="A503" s="151">
        <f>IF((A502+1)&lt;=Outline!$E$12,A502+1,0)</f>
        <v>22</v>
      </c>
    </row>
    <row r="504" spans="1:1" ht="20.100000000000001" hidden="1" customHeight="1" x14ac:dyDescent="0.25">
      <c r="A504" s="151">
        <f>IF((A503+1)&lt;=Outline!$E$12,A503+1,0)</f>
        <v>23</v>
      </c>
    </row>
    <row r="505" spans="1:1" ht="20.100000000000001" hidden="1" customHeight="1" x14ac:dyDescent="0.25">
      <c r="A505" s="151">
        <f>IF((A504+1)&lt;=Outline!$E$12,A504+1,0)</f>
        <v>24</v>
      </c>
    </row>
    <row r="506" spans="1:1" ht="20.100000000000001" hidden="1" customHeight="1" x14ac:dyDescent="0.25">
      <c r="A506" s="151">
        <f>IF((A505+1)&lt;=Outline!$E$12,A505+1,0)</f>
        <v>25</v>
      </c>
    </row>
    <row r="507" spans="1:1" ht="20.100000000000001" hidden="1" customHeight="1" x14ac:dyDescent="0.25">
      <c r="A507" s="151">
        <f>IF((A506+1)&lt;=Outline!$E$12,A506+1,0)</f>
        <v>26</v>
      </c>
    </row>
    <row r="508" spans="1:1" ht="20.100000000000001" hidden="1" customHeight="1" x14ac:dyDescent="0.25">
      <c r="A508" s="151">
        <f>IF((A507+1)&lt;=Outline!$E$12,A507+1,0)</f>
        <v>27</v>
      </c>
    </row>
    <row r="509" spans="1:1" ht="20.100000000000001" hidden="1" customHeight="1" x14ac:dyDescent="0.25">
      <c r="A509" s="151">
        <f>IF((A508+1)&lt;=Outline!$E$12,A508+1,0)</f>
        <v>28</v>
      </c>
    </row>
    <row r="510" spans="1:1" ht="20.100000000000001" hidden="1" customHeight="1" x14ac:dyDescent="0.25">
      <c r="A510" s="151">
        <f>IF((A509+1)&lt;=Outline!$E$12,A509+1,0)</f>
        <v>29</v>
      </c>
    </row>
    <row r="511" spans="1:1" ht="20.100000000000001" hidden="1" customHeight="1" x14ac:dyDescent="0.25">
      <c r="A511" s="151">
        <f>IF((A510+1)&lt;=Outline!$E$12,A510+1,0)</f>
        <v>30</v>
      </c>
    </row>
    <row r="512" spans="1:1" ht="20.100000000000001" hidden="1" customHeight="1" x14ac:dyDescent="0.25">
      <c r="A512" s="151">
        <f>IF((A511+1)&lt;=Outline!$E$12,A511+1,0)</f>
        <v>31</v>
      </c>
    </row>
    <row r="513" spans="1:1" ht="20.100000000000001" hidden="1" customHeight="1" x14ac:dyDescent="0.25">
      <c r="A513" s="151">
        <f>IF((A512+1)&lt;=Outline!$E$12,A512+1,0)</f>
        <v>32</v>
      </c>
    </row>
    <row r="514" spans="1:1" ht="20.100000000000001" hidden="1" customHeight="1" x14ac:dyDescent="0.25">
      <c r="A514" s="151">
        <f>IF((A513+1)&lt;=Outline!$E$12,A513+1,0)</f>
        <v>33</v>
      </c>
    </row>
    <row r="515" spans="1:1" ht="20.100000000000001" hidden="1" customHeight="1" x14ac:dyDescent="0.25">
      <c r="A515" s="151">
        <f>IF((A514+1)&lt;=Outline!$E$12,A514+1,0)</f>
        <v>34</v>
      </c>
    </row>
    <row r="516" spans="1:1" ht="20.100000000000001" hidden="1" customHeight="1" x14ac:dyDescent="0.25">
      <c r="A516" s="151">
        <f>IF((A515+1)&lt;=Outline!$E$12,A515+1,0)</f>
        <v>35</v>
      </c>
    </row>
    <row r="517" spans="1:1" ht="20.100000000000001" hidden="1" customHeight="1" x14ac:dyDescent="0.25">
      <c r="A517" s="151">
        <f>IF((A516+1)&lt;=Outline!$E$12,A516+1,0)</f>
        <v>36</v>
      </c>
    </row>
    <row r="518" spans="1:1" ht="20.100000000000001" hidden="1" customHeight="1" x14ac:dyDescent="0.25">
      <c r="A518" s="151">
        <f>IF((A517+1)&lt;=Outline!$E$12,A517+1,0)</f>
        <v>37</v>
      </c>
    </row>
    <row r="519" spans="1:1" ht="20.100000000000001" hidden="1" customHeight="1" x14ac:dyDescent="0.25">
      <c r="A519" s="151">
        <f>IF((A518+1)&lt;=Outline!$E$12,A518+1,0)</f>
        <v>38</v>
      </c>
    </row>
    <row r="520" spans="1:1" ht="20.100000000000001" hidden="1" customHeight="1" x14ac:dyDescent="0.25">
      <c r="A520" s="151">
        <f>IF((A519+1)&lt;=Outline!$E$12,A519+1,0)</f>
        <v>39</v>
      </c>
    </row>
    <row r="521" spans="1:1" ht="20.100000000000001" hidden="1" customHeight="1" x14ac:dyDescent="0.25">
      <c r="A521" s="151">
        <f>IF((A520+1)&lt;=Outline!$E$12,A520+1,0)</f>
        <v>40</v>
      </c>
    </row>
    <row r="522" spans="1:1" ht="20.100000000000001" hidden="1" customHeight="1" x14ac:dyDescent="0.25">
      <c r="A522" s="151">
        <f>IF((A521+1)&lt;=Outline!$E$12,A521+1,0)</f>
        <v>41</v>
      </c>
    </row>
    <row r="523" spans="1:1" ht="20.100000000000001" hidden="1" customHeight="1" x14ac:dyDescent="0.25">
      <c r="A523" s="151">
        <f>IF((A522+1)&lt;=Outline!$E$12,A522+1,0)</f>
        <v>42</v>
      </c>
    </row>
    <row r="524" spans="1:1" ht="20.100000000000001" hidden="1" customHeight="1" x14ac:dyDescent="0.25">
      <c r="A524" s="151">
        <f>IF((A523+1)&lt;=Outline!$E$12,A523+1,0)</f>
        <v>0</v>
      </c>
    </row>
    <row r="525" spans="1:1" ht="20.100000000000001" hidden="1" customHeight="1" x14ac:dyDescent="0.25">
      <c r="A525" s="151">
        <f>IF((A524+1)&lt;=Outline!$E$12,A524+1,0)</f>
        <v>1</v>
      </c>
    </row>
    <row r="526" spans="1:1" ht="20.100000000000001" hidden="1" customHeight="1" x14ac:dyDescent="0.25">
      <c r="A526" s="151">
        <f>IF((A525+1)&lt;=Outline!$E$12,A525+1,0)</f>
        <v>2</v>
      </c>
    </row>
    <row r="527" spans="1:1" ht="20.100000000000001" hidden="1" customHeight="1" x14ac:dyDescent="0.25">
      <c r="A527" s="151">
        <f>IF((A526+1)&lt;=Outline!$E$12,A526+1,0)</f>
        <v>3</v>
      </c>
    </row>
    <row r="528" spans="1:1" ht="20.100000000000001" hidden="1" customHeight="1" x14ac:dyDescent="0.25">
      <c r="A528" s="151">
        <f>IF((A527+1)&lt;=Outline!$E$12,A527+1,0)</f>
        <v>4</v>
      </c>
    </row>
    <row r="529" spans="1:1" ht="20.100000000000001" hidden="1" customHeight="1" x14ac:dyDescent="0.25">
      <c r="A529" s="151">
        <f>IF((A528+1)&lt;=Outline!$E$12,A528+1,0)</f>
        <v>5</v>
      </c>
    </row>
    <row r="530" spans="1:1" ht="20.100000000000001" hidden="1" customHeight="1" x14ac:dyDescent="0.25">
      <c r="A530" s="151">
        <f>IF((A529+1)&lt;=Outline!$E$12,A529+1,0)</f>
        <v>6</v>
      </c>
    </row>
    <row r="531" spans="1:1" ht="20.100000000000001" hidden="1" customHeight="1" x14ac:dyDescent="0.25">
      <c r="A531" s="151">
        <f>IF((A530+1)&lt;=Outline!$E$12,A530+1,0)</f>
        <v>7</v>
      </c>
    </row>
    <row r="532" spans="1:1" ht="20.100000000000001" hidden="1" customHeight="1" x14ac:dyDescent="0.25">
      <c r="A532" s="151">
        <f>IF((A531+1)&lt;=Outline!$E$12,A531+1,0)</f>
        <v>8</v>
      </c>
    </row>
    <row r="533" spans="1:1" ht="20.100000000000001" hidden="1" customHeight="1" x14ac:dyDescent="0.25">
      <c r="A533" s="151">
        <f>IF((A532+1)&lt;=Outline!$E$12,A532+1,0)</f>
        <v>9</v>
      </c>
    </row>
    <row r="534" spans="1:1" ht="20.100000000000001" hidden="1" customHeight="1" x14ac:dyDescent="0.25">
      <c r="A534" s="151">
        <f>IF((A533+1)&lt;=Outline!$E$12,A533+1,0)</f>
        <v>10</v>
      </c>
    </row>
    <row r="535" spans="1:1" ht="20.100000000000001" hidden="1" customHeight="1" x14ac:dyDescent="0.25">
      <c r="A535" s="151">
        <f>IF((A534+1)&lt;=Outline!$E$12,A534+1,0)</f>
        <v>11</v>
      </c>
    </row>
    <row r="536" spans="1:1" ht="20.100000000000001" hidden="1" customHeight="1" x14ac:dyDescent="0.25">
      <c r="A536" s="151">
        <f>IF((A535+1)&lt;=Outline!$E$12,A535+1,0)</f>
        <v>12</v>
      </c>
    </row>
    <row r="537" spans="1:1" ht="20.100000000000001" hidden="1" customHeight="1" x14ac:dyDescent="0.25">
      <c r="A537" s="151">
        <f>IF((A536+1)&lt;=Outline!$E$12,A536+1,0)</f>
        <v>13</v>
      </c>
    </row>
    <row r="538" spans="1:1" ht="20.100000000000001" hidden="1" customHeight="1" x14ac:dyDescent="0.25">
      <c r="A538" s="151">
        <f>IF((A537+1)&lt;=Outline!$E$12,A537+1,0)</f>
        <v>14</v>
      </c>
    </row>
    <row r="539" spans="1:1" ht="20.100000000000001" hidden="1" customHeight="1" x14ac:dyDescent="0.25">
      <c r="A539" s="151">
        <f>IF((A538+1)&lt;=Outline!$E$12,A538+1,0)</f>
        <v>15</v>
      </c>
    </row>
    <row r="540" spans="1:1" ht="20.100000000000001" hidden="1" customHeight="1" x14ac:dyDescent="0.25">
      <c r="A540" s="151">
        <f>IF((A539+1)&lt;=Outline!$E$12,A539+1,0)</f>
        <v>16</v>
      </c>
    </row>
    <row r="541" spans="1:1" ht="20.100000000000001" hidden="1" customHeight="1" x14ac:dyDescent="0.25">
      <c r="A541" s="151">
        <f>IF((A540+1)&lt;=Outline!$E$12,A540+1,0)</f>
        <v>17</v>
      </c>
    </row>
    <row r="542" spans="1:1" ht="20.100000000000001" hidden="1" customHeight="1" x14ac:dyDescent="0.25">
      <c r="A542" s="151">
        <f>IF((A541+1)&lt;=Outline!$E$12,A541+1,0)</f>
        <v>18</v>
      </c>
    </row>
    <row r="543" spans="1:1" ht="20.100000000000001" hidden="1" customHeight="1" x14ac:dyDescent="0.25">
      <c r="A543" s="151">
        <f>IF((A542+1)&lt;=Outline!$E$12,A542+1,0)</f>
        <v>19</v>
      </c>
    </row>
    <row r="544" spans="1:1" ht="20.100000000000001" hidden="1" customHeight="1" x14ac:dyDescent="0.25">
      <c r="A544" s="151">
        <f>IF((A543+1)&lt;=Outline!$E$12,A543+1,0)</f>
        <v>20</v>
      </c>
    </row>
    <row r="545" spans="1:1" ht="20.100000000000001" hidden="1" customHeight="1" x14ac:dyDescent="0.25">
      <c r="A545" s="151">
        <f>IF((A544+1)&lt;=Outline!$E$12,A544+1,0)</f>
        <v>21</v>
      </c>
    </row>
    <row r="546" spans="1:1" ht="20.100000000000001" hidden="1" customHeight="1" x14ac:dyDescent="0.25">
      <c r="A546" s="151">
        <f>IF((A545+1)&lt;=Outline!$E$12,A545+1,0)</f>
        <v>22</v>
      </c>
    </row>
    <row r="547" spans="1:1" ht="20.100000000000001" hidden="1" customHeight="1" x14ac:dyDescent="0.25">
      <c r="A547" s="151">
        <f>IF((A546+1)&lt;=Outline!$E$12,A546+1,0)</f>
        <v>23</v>
      </c>
    </row>
    <row r="548" spans="1:1" ht="20.100000000000001" hidden="1" customHeight="1" x14ac:dyDescent="0.25">
      <c r="A548" s="151">
        <f>IF((A547+1)&lt;=Outline!$E$12,A547+1,0)</f>
        <v>24</v>
      </c>
    </row>
    <row r="549" spans="1:1" ht="20.100000000000001" hidden="1" customHeight="1" x14ac:dyDescent="0.25">
      <c r="A549" s="151">
        <f>IF((A548+1)&lt;=Outline!$E$12,A548+1,0)</f>
        <v>25</v>
      </c>
    </row>
    <row r="550" spans="1:1" ht="20.100000000000001" hidden="1" customHeight="1" x14ac:dyDescent="0.25">
      <c r="A550" s="151">
        <f>IF((A549+1)&lt;=Outline!$E$12,A549+1,0)</f>
        <v>26</v>
      </c>
    </row>
    <row r="551" spans="1:1" ht="20.100000000000001" hidden="1" customHeight="1" x14ac:dyDescent="0.25">
      <c r="A551" s="151">
        <f>IF((A550+1)&lt;=Outline!$E$12,A550+1,0)</f>
        <v>27</v>
      </c>
    </row>
    <row r="552" spans="1:1" ht="20.100000000000001" hidden="1" customHeight="1" x14ac:dyDescent="0.25">
      <c r="A552" s="151">
        <f>IF((A551+1)&lt;=Outline!$E$12,A551+1,0)</f>
        <v>28</v>
      </c>
    </row>
    <row r="553" spans="1:1" ht="20.100000000000001" hidden="1" customHeight="1" x14ac:dyDescent="0.25">
      <c r="A553" s="151">
        <f>IF((A552+1)&lt;=Outline!$E$12,A552+1,0)</f>
        <v>29</v>
      </c>
    </row>
    <row r="554" spans="1:1" ht="20.100000000000001" hidden="1" customHeight="1" x14ac:dyDescent="0.25">
      <c r="A554" s="151">
        <f>IF((A553+1)&lt;=Outline!$E$12,A553+1,0)</f>
        <v>30</v>
      </c>
    </row>
    <row r="555" spans="1:1" ht="20.100000000000001" hidden="1" customHeight="1" x14ac:dyDescent="0.25">
      <c r="A555" s="151">
        <f>IF((A554+1)&lt;=Outline!$E$12,A554+1,0)</f>
        <v>31</v>
      </c>
    </row>
    <row r="556" spans="1:1" ht="20.100000000000001" hidden="1" customHeight="1" x14ac:dyDescent="0.25">
      <c r="A556" s="151">
        <f>IF((A555+1)&lt;=Outline!$E$12,A555+1,0)</f>
        <v>32</v>
      </c>
    </row>
    <row r="557" spans="1:1" ht="20.100000000000001" hidden="1" customHeight="1" x14ac:dyDescent="0.25">
      <c r="A557" s="151">
        <f>IF((A556+1)&lt;=Outline!$E$12,A556+1,0)</f>
        <v>33</v>
      </c>
    </row>
    <row r="558" spans="1:1" ht="20.100000000000001" hidden="1" customHeight="1" x14ac:dyDescent="0.25">
      <c r="A558" s="151">
        <f>IF((A557+1)&lt;=Outline!$E$12,A557+1,0)</f>
        <v>34</v>
      </c>
    </row>
    <row r="559" spans="1:1" ht="20.100000000000001" hidden="1" customHeight="1" x14ac:dyDescent="0.25">
      <c r="A559" s="151">
        <f>IF((A558+1)&lt;=Outline!$E$12,A558+1,0)</f>
        <v>35</v>
      </c>
    </row>
    <row r="560" spans="1:1" ht="20.100000000000001" hidden="1" customHeight="1" x14ac:dyDescent="0.25">
      <c r="A560" s="151">
        <f>IF((A559+1)&lt;=Outline!$E$12,A559+1,0)</f>
        <v>36</v>
      </c>
    </row>
    <row r="561" spans="1:1" ht="20.100000000000001" hidden="1" customHeight="1" x14ac:dyDescent="0.25">
      <c r="A561" s="151">
        <f>IF((A560+1)&lt;=Outline!$E$12,A560+1,0)</f>
        <v>37</v>
      </c>
    </row>
    <row r="562" spans="1:1" ht="20.100000000000001" hidden="1" customHeight="1" x14ac:dyDescent="0.25">
      <c r="A562" s="151">
        <f>IF((A561+1)&lt;=Outline!$E$12,A561+1,0)</f>
        <v>38</v>
      </c>
    </row>
    <row r="563" spans="1:1" ht="20.100000000000001" hidden="1" customHeight="1" x14ac:dyDescent="0.25">
      <c r="A563" s="151">
        <f>IF((A562+1)&lt;=Outline!$E$12,A562+1,0)</f>
        <v>39</v>
      </c>
    </row>
    <row r="564" spans="1:1" ht="20.100000000000001" hidden="1" customHeight="1" x14ac:dyDescent="0.25">
      <c r="A564" s="151">
        <f>IF((A563+1)&lt;=Outline!$E$12,A563+1,0)</f>
        <v>40</v>
      </c>
    </row>
    <row r="565" spans="1:1" ht="20.100000000000001" hidden="1" customHeight="1" x14ac:dyDescent="0.25">
      <c r="A565" s="151">
        <f>IF((A564+1)&lt;=Outline!$E$12,A564+1,0)</f>
        <v>41</v>
      </c>
    </row>
    <row r="566" spans="1:1" ht="20.100000000000001" hidden="1" customHeight="1" x14ac:dyDescent="0.25">
      <c r="A566" s="151">
        <f>IF((A565+1)&lt;=Outline!$E$12,A565+1,0)</f>
        <v>42</v>
      </c>
    </row>
    <row r="567" spans="1:1" ht="20.100000000000001" hidden="1" customHeight="1" x14ac:dyDescent="0.25">
      <c r="A567" s="151">
        <f>IF((A566+1)&lt;=Outline!$E$12,A566+1,0)</f>
        <v>0</v>
      </c>
    </row>
    <row r="568" spans="1:1" ht="20.100000000000001" hidden="1" customHeight="1" x14ac:dyDescent="0.25">
      <c r="A568" s="151">
        <f>IF((A567+1)&lt;=Outline!$E$12,A567+1,0)</f>
        <v>1</v>
      </c>
    </row>
    <row r="569" spans="1:1" ht="20.100000000000001" hidden="1" customHeight="1" x14ac:dyDescent="0.25">
      <c r="A569" s="151">
        <f>IF((A568+1)&lt;=Outline!$E$12,A568+1,0)</f>
        <v>2</v>
      </c>
    </row>
    <row r="570" spans="1:1" ht="20.100000000000001" hidden="1" customHeight="1" x14ac:dyDescent="0.25">
      <c r="A570" s="151">
        <f>IF((A569+1)&lt;=Outline!$E$12,A569+1,0)</f>
        <v>3</v>
      </c>
    </row>
    <row r="571" spans="1:1" ht="20.100000000000001" hidden="1" customHeight="1" x14ac:dyDescent="0.25">
      <c r="A571" s="151">
        <f>IF((A570+1)&lt;=Outline!$E$12,A570+1,0)</f>
        <v>4</v>
      </c>
    </row>
    <row r="572" spans="1:1" ht="20.100000000000001" hidden="1" customHeight="1" x14ac:dyDescent="0.25">
      <c r="A572" s="151">
        <f>IF((A571+1)&lt;=Outline!$E$12,A571+1,0)</f>
        <v>5</v>
      </c>
    </row>
    <row r="573" spans="1:1" ht="20.100000000000001" hidden="1" customHeight="1" x14ac:dyDescent="0.25">
      <c r="A573" s="151">
        <f>IF((A572+1)&lt;=Outline!$E$12,A572+1,0)</f>
        <v>6</v>
      </c>
    </row>
    <row r="574" spans="1:1" ht="20.100000000000001" hidden="1" customHeight="1" x14ac:dyDescent="0.25">
      <c r="A574" s="151">
        <f>IF((A573+1)&lt;=Outline!$E$12,A573+1,0)</f>
        <v>7</v>
      </c>
    </row>
    <row r="575" spans="1:1" ht="20.100000000000001" hidden="1" customHeight="1" x14ac:dyDescent="0.25">
      <c r="A575" s="151">
        <f>IF((A574+1)&lt;=Outline!$E$12,A574+1,0)</f>
        <v>8</v>
      </c>
    </row>
    <row r="576" spans="1:1" ht="20.100000000000001" hidden="1" customHeight="1" x14ac:dyDescent="0.25">
      <c r="A576" s="151">
        <f>IF((A575+1)&lt;=Outline!$E$12,A575+1,0)</f>
        <v>9</v>
      </c>
    </row>
    <row r="577" spans="1:1" ht="20.100000000000001" hidden="1" customHeight="1" x14ac:dyDescent="0.25">
      <c r="A577" s="151">
        <f>IF((A576+1)&lt;=Outline!$E$12,A576+1,0)</f>
        <v>10</v>
      </c>
    </row>
    <row r="578" spans="1:1" ht="20.100000000000001" hidden="1" customHeight="1" x14ac:dyDescent="0.25">
      <c r="A578" s="151">
        <f>IF((A577+1)&lt;=Outline!$E$12,A577+1,0)</f>
        <v>11</v>
      </c>
    </row>
    <row r="579" spans="1:1" ht="20.100000000000001" hidden="1" customHeight="1" x14ac:dyDescent="0.25">
      <c r="A579" s="151">
        <f>IF((A578+1)&lt;=Outline!$E$12,A578+1,0)</f>
        <v>12</v>
      </c>
    </row>
    <row r="580" spans="1:1" ht="20.100000000000001" hidden="1" customHeight="1" x14ac:dyDescent="0.25">
      <c r="A580" s="151">
        <f>IF((A579+1)&lt;=Outline!$E$12,A579+1,0)</f>
        <v>13</v>
      </c>
    </row>
    <row r="581" spans="1:1" ht="20.100000000000001" hidden="1" customHeight="1" x14ac:dyDescent="0.25">
      <c r="A581" s="151">
        <f>IF((A580+1)&lt;=Outline!$E$12,A580+1,0)</f>
        <v>14</v>
      </c>
    </row>
    <row r="582" spans="1:1" ht="20.100000000000001" hidden="1" customHeight="1" x14ac:dyDescent="0.25">
      <c r="A582" s="151">
        <f>IF((A581+1)&lt;=Outline!$E$12,A581+1,0)</f>
        <v>15</v>
      </c>
    </row>
    <row r="583" spans="1:1" ht="20.100000000000001" hidden="1" customHeight="1" x14ac:dyDescent="0.25">
      <c r="A583" s="151">
        <f>IF((A582+1)&lt;=Outline!$E$12,A582+1,0)</f>
        <v>16</v>
      </c>
    </row>
    <row r="584" spans="1:1" ht="20.100000000000001" hidden="1" customHeight="1" x14ac:dyDescent="0.25">
      <c r="A584" s="151">
        <f>IF((A583+1)&lt;=Outline!$E$12,A583+1,0)</f>
        <v>17</v>
      </c>
    </row>
    <row r="585" spans="1:1" ht="20.100000000000001" hidden="1" customHeight="1" x14ac:dyDescent="0.25">
      <c r="A585" s="151">
        <f>IF((A584+1)&lt;=Outline!$E$12,A584+1,0)</f>
        <v>18</v>
      </c>
    </row>
    <row r="586" spans="1:1" ht="20.100000000000001" hidden="1" customHeight="1" x14ac:dyDescent="0.25">
      <c r="A586" s="151">
        <f>IF((A585+1)&lt;=Outline!$E$12,A585+1,0)</f>
        <v>19</v>
      </c>
    </row>
    <row r="587" spans="1:1" ht="20.100000000000001" hidden="1" customHeight="1" x14ac:dyDescent="0.25">
      <c r="A587" s="151">
        <f>IF((A586+1)&lt;=Outline!$E$12,A586+1,0)</f>
        <v>20</v>
      </c>
    </row>
    <row r="588" spans="1:1" ht="20.100000000000001" hidden="1" customHeight="1" x14ac:dyDescent="0.25">
      <c r="A588" s="151">
        <f>IF((A587+1)&lt;=Outline!$E$12,A587+1,0)</f>
        <v>21</v>
      </c>
    </row>
    <row r="589" spans="1:1" ht="20.100000000000001" hidden="1" customHeight="1" x14ac:dyDescent="0.25">
      <c r="A589" s="151">
        <f>IF((A588+1)&lt;=Outline!$E$12,A588+1,0)</f>
        <v>22</v>
      </c>
    </row>
    <row r="590" spans="1:1" ht="20.100000000000001" hidden="1" customHeight="1" x14ac:dyDescent="0.25">
      <c r="A590" s="151">
        <f>IF((A589+1)&lt;=Outline!$E$12,A589+1,0)</f>
        <v>23</v>
      </c>
    </row>
    <row r="591" spans="1:1" ht="20.100000000000001" hidden="1" customHeight="1" x14ac:dyDescent="0.25">
      <c r="A591" s="151">
        <f>IF((A590+1)&lt;=Outline!$E$12,A590+1,0)</f>
        <v>24</v>
      </c>
    </row>
    <row r="592" spans="1:1" ht="20.100000000000001" hidden="1" customHeight="1" x14ac:dyDescent="0.25">
      <c r="A592" s="151">
        <f>IF((A591+1)&lt;=Outline!$E$12,A591+1,0)</f>
        <v>25</v>
      </c>
    </row>
    <row r="593" spans="1:1" ht="20.100000000000001" hidden="1" customHeight="1" x14ac:dyDescent="0.25">
      <c r="A593" s="151">
        <f>IF((A592+1)&lt;=Outline!$E$12,A592+1,0)</f>
        <v>26</v>
      </c>
    </row>
    <row r="594" spans="1:1" ht="20.100000000000001" hidden="1" customHeight="1" x14ac:dyDescent="0.25">
      <c r="A594" s="151">
        <f>IF((A593+1)&lt;=Outline!$E$12,A593+1,0)</f>
        <v>27</v>
      </c>
    </row>
    <row r="595" spans="1:1" ht="20.100000000000001" hidden="1" customHeight="1" x14ac:dyDescent="0.25">
      <c r="A595" s="151">
        <f>IF((A594+1)&lt;=Outline!$E$12,A594+1,0)</f>
        <v>28</v>
      </c>
    </row>
    <row r="596" spans="1:1" ht="20.100000000000001" hidden="1" customHeight="1" x14ac:dyDescent="0.25">
      <c r="A596" s="151">
        <f>IF((A595+1)&lt;=Outline!$E$12,A595+1,0)</f>
        <v>29</v>
      </c>
    </row>
    <row r="597" spans="1:1" ht="20.100000000000001" hidden="1" customHeight="1" x14ac:dyDescent="0.25">
      <c r="A597" s="151">
        <f>IF((A596+1)&lt;=Outline!$E$12,A596+1,0)</f>
        <v>30</v>
      </c>
    </row>
    <row r="598" spans="1:1" ht="20.100000000000001" hidden="1" customHeight="1" x14ac:dyDescent="0.25">
      <c r="A598" s="151">
        <f>IF((A597+1)&lt;=Outline!$E$12,A597+1,0)</f>
        <v>31</v>
      </c>
    </row>
    <row r="599" spans="1:1" ht="20.100000000000001" hidden="1" customHeight="1" x14ac:dyDescent="0.25">
      <c r="A599" s="151">
        <f>IF((A598+1)&lt;=Outline!$E$12,A598+1,0)</f>
        <v>32</v>
      </c>
    </row>
    <row r="600" spans="1:1" ht="20.100000000000001" hidden="1" customHeight="1" x14ac:dyDescent="0.25">
      <c r="A600" s="151">
        <f>IF((A599+1)&lt;=Outline!$E$12,A599+1,0)</f>
        <v>33</v>
      </c>
    </row>
    <row r="601" spans="1:1" ht="20.100000000000001" hidden="1" customHeight="1" x14ac:dyDescent="0.25">
      <c r="A601" s="151">
        <f>IF((A600+1)&lt;=Outline!$E$12,A600+1,0)</f>
        <v>34</v>
      </c>
    </row>
    <row r="602" spans="1:1" ht="20.100000000000001" hidden="1" customHeight="1" x14ac:dyDescent="0.25">
      <c r="A602" s="151">
        <f>IF((A601+1)&lt;=Outline!$E$12,A601+1,0)</f>
        <v>35</v>
      </c>
    </row>
    <row r="603" spans="1:1" ht="20.100000000000001" hidden="1" customHeight="1" x14ac:dyDescent="0.25">
      <c r="A603" s="151">
        <f>IF((A602+1)&lt;=Outline!$E$12,A602+1,0)</f>
        <v>36</v>
      </c>
    </row>
    <row r="604" spans="1:1" ht="20.100000000000001" hidden="1" customHeight="1" x14ac:dyDescent="0.25">
      <c r="A604" s="151">
        <f>IF((A603+1)&lt;=Outline!$E$12,A603+1,0)</f>
        <v>37</v>
      </c>
    </row>
    <row r="605" spans="1:1" ht="20.100000000000001" hidden="1" customHeight="1" x14ac:dyDescent="0.25">
      <c r="A605" s="151">
        <f>IF((A604+1)&lt;=Outline!$E$12,A604+1,0)</f>
        <v>38</v>
      </c>
    </row>
    <row r="606" spans="1:1" ht="20.100000000000001" hidden="1" customHeight="1" x14ac:dyDescent="0.25">
      <c r="A606" s="151">
        <f>IF((A605+1)&lt;=Outline!$E$12,A605+1,0)</f>
        <v>39</v>
      </c>
    </row>
    <row r="607" spans="1:1" ht="20.100000000000001" hidden="1" customHeight="1" x14ac:dyDescent="0.25">
      <c r="A607" s="151">
        <f>IF((A606+1)&lt;=Outline!$E$12,A606+1,0)</f>
        <v>40</v>
      </c>
    </row>
    <row r="608" spans="1:1" ht="20.100000000000001" hidden="1" customHeight="1" x14ac:dyDescent="0.25">
      <c r="A608" s="151">
        <f>IF((A607+1)&lt;=Outline!$E$12,A607+1,0)</f>
        <v>41</v>
      </c>
    </row>
    <row r="609" spans="1:1" ht="20.100000000000001" hidden="1" customHeight="1" x14ac:dyDescent="0.25">
      <c r="A609" s="151">
        <f>IF((A608+1)&lt;=Outline!$E$12,A608+1,0)</f>
        <v>42</v>
      </c>
    </row>
    <row r="610" spans="1:1" ht="20.100000000000001" hidden="1" customHeight="1" x14ac:dyDescent="0.25">
      <c r="A610" s="151">
        <f>IF((A609+1)&lt;=Outline!$E$12,A609+1,0)</f>
        <v>0</v>
      </c>
    </row>
    <row r="611" spans="1:1" ht="20.100000000000001" hidden="1" customHeight="1" x14ac:dyDescent="0.25">
      <c r="A611" s="151">
        <f>IF((A610+1)&lt;=Outline!$E$12,A610+1,0)</f>
        <v>1</v>
      </c>
    </row>
    <row r="612" spans="1:1" ht="20.100000000000001" hidden="1" customHeight="1" x14ac:dyDescent="0.25">
      <c r="A612" s="151">
        <f>IF((A611+1)&lt;=Outline!$E$12,A611+1,0)</f>
        <v>2</v>
      </c>
    </row>
    <row r="613" spans="1:1" ht="20.100000000000001" hidden="1" customHeight="1" x14ac:dyDescent="0.25">
      <c r="A613" s="151">
        <f>IF((A612+1)&lt;=Outline!$E$12,A612+1,0)</f>
        <v>3</v>
      </c>
    </row>
    <row r="614" spans="1:1" ht="20.100000000000001" hidden="1" customHeight="1" x14ac:dyDescent="0.25">
      <c r="A614" s="151">
        <f>IF((A613+1)&lt;=Outline!$E$12,A613+1,0)</f>
        <v>4</v>
      </c>
    </row>
    <row r="615" spans="1:1" ht="20.100000000000001" hidden="1" customHeight="1" x14ac:dyDescent="0.25">
      <c r="A615" s="151">
        <f>IF((A614+1)&lt;=Outline!$E$12,A614+1,0)</f>
        <v>5</v>
      </c>
    </row>
    <row r="616" spans="1:1" ht="20.100000000000001" hidden="1" customHeight="1" x14ac:dyDescent="0.25">
      <c r="A616" s="151">
        <f>IF((A615+1)&lt;=Outline!$E$12,A615+1,0)</f>
        <v>6</v>
      </c>
    </row>
    <row r="617" spans="1:1" ht="20.100000000000001" hidden="1" customHeight="1" x14ac:dyDescent="0.25">
      <c r="A617" s="151">
        <f>IF((A616+1)&lt;=Outline!$E$12,A616+1,0)</f>
        <v>7</v>
      </c>
    </row>
    <row r="618" spans="1:1" ht="20.100000000000001" hidden="1" customHeight="1" x14ac:dyDescent="0.25">
      <c r="A618" s="151">
        <f>IF((A617+1)&lt;=Outline!$E$12,A617+1,0)</f>
        <v>8</v>
      </c>
    </row>
    <row r="619" spans="1:1" ht="20.100000000000001" hidden="1" customHeight="1" x14ac:dyDescent="0.25">
      <c r="A619" s="151">
        <f>IF((A618+1)&lt;=Outline!$E$12,A618+1,0)</f>
        <v>9</v>
      </c>
    </row>
    <row r="620" spans="1:1" ht="20.100000000000001" hidden="1" customHeight="1" x14ac:dyDescent="0.25">
      <c r="A620" s="151">
        <f>IF((A619+1)&lt;=Outline!$E$12,A619+1,0)</f>
        <v>10</v>
      </c>
    </row>
    <row r="621" spans="1:1" ht="20.100000000000001" hidden="1" customHeight="1" x14ac:dyDescent="0.25">
      <c r="A621" s="151">
        <f>IF((A620+1)&lt;=Outline!$E$12,A620+1,0)</f>
        <v>11</v>
      </c>
    </row>
    <row r="622" spans="1:1" ht="20.100000000000001" hidden="1" customHeight="1" x14ac:dyDescent="0.25">
      <c r="A622" s="151">
        <f>IF((A621+1)&lt;=Outline!$E$12,A621+1,0)</f>
        <v>12</v>
      </c>
    </row>
    <row r="623" spans="1:1" ht="20.100000000000001" hidden="1" customHeight="1" x14ac:dyDescent="0.25">
      <c r="A623" s="151">
        <f>IF((A622+1)&lt;=Outline!$E$12,A622+1,0)</f>
        <v>13</v>
      </c>
    </row>
    <row r="624" spans="1:1" ht="20.100000000000001" hidden="1" customHeight="1" x14ac:dyDescent="0.25">
      <c r="A624" s="151">
        <f>IF((A623+1)&lt;=Outline!$E$12,A623+1,0)</f>
        <v>14</v>
      </c>
    </row>
    <row r="625" spans="1:1" ht="20.100000000000001" hidden="1" customHeight="1" x14ac:dyDescent="0.25">
      <c r="A625" s="151">
        <f>IF((A624+1)&lt;=Outline!$E$12,A624+1,0)</f>
        <v>15</v>
      </c>
    </row>
    <row r="626" spans="1:1" ht="20.100000000000001" hidden="1" customHeight="1" x14ac:dyDescent="0.25">
      <c r="A626" s="151">
        <f>IF((A625+1)&lt;=Outline!$E$12,A625+1,0)</f>
        <v>16</v>
      </c>
    </row>
    <row r="627" spans="1:1" ht="20.100000000000001" hidden="1" customHeight="1" x14ac:dyDescent="0.25">
      <c r="A627" s="151">
        <f>IF((A626+1)&lt;=Outline!$E$12,A626+1,0)</f>
        <v>17</v>
      </c>
    </row>
    <row r="628" spans="1:1" ht="20.100000000000001" hidden="1" customHeight="1" x14ac:dyDescent="0.25">
      <c r="A628" s="151">
        <f>IF((A627+1)&lt;=Outline!$E$12,A627+1,0)</f>
        <v>18</v>
      </c>
    </row>
    <row r="629" spans="1:1" ht="20.100000000000001" hidden="1" customHeight="1" x14ac:dyDescent="0.25">
      <c r="A629" s="151">
        <f>IF((A628+1)&lt;=Outline!$E$12,A628+1,0)</f>
        <v>19</v>
      </c>
    </row>
    <row r="630" spans="1:1" ht="20.100000000000001" hidden="1" customHeight="1" x14ac:dyDescent="0.25">
      <c r="A630" s="151">
        <f>IF((A629+1)&lt;=Outline!$E$12,A629+1,0)</f>
        <v>20</v>
      </c>
    </row>
    <row r="631" spans="1:1" ht="20.100000000000001" hidden="1" customHeight="1" x14ac:dyDescent="0.25">
      <c r="A631" s="151">
        <f>IF((A630+1)&lt;=Outline!$E$12,A630+1,0)</f>
        <v>21</v>
      </c>
    </row>
    <row r="632" spans="1:1" ht="20.100000000000001" hidden="1" customHeight="1" x14ac:dyDescent="0.25">
      <c r="A632" s="151">
        <f>IF((A631+1)&lt;=Outline!$E$12,A631+1,0)</f>
        <v>22</v>
      </c>
    </row>
    <row r="633" spans="1:1" ht="20.100000000000001" hidden="1" customHeight="1" x14ac:dyDescent="0.25">
      <c r="A633" s="151">
        <f>IF((A632+1)&lt;=Outline!$E$12,A632+1,0)</f>
        <v>23</v>
      </c>
    </row>
    <row r="634" spans="1:1" ht="20.100000000000001" hidden="1" customHeight="1" x14ac:dyDescent="0.25">
      <c r="A634" s="151">
        <f>IF((A633+1)&lt;=Outline!$E$12,A633+1,0)</f>
        <v>24</v>
      </c>
    </row>
    <row r="635" spans="1:1" ht="20.100000000000001" hidden="1" customHeight="1" x14ac:dyDescent="0.25">
      <c r="A635" s="151">
        <f>IF((A634+1)&lt;=Outline!$E$12,A634+1,0)</f>
        <v>25</v>
      </c>
    </row>
    <row r="636" spans="1:1" ht="20.100000000000001" hidden="1" customHeight="1" x14ac:dyDescent="0.25">
      <c r="A636" s="151">
        <f>IF((A635+1)&lt;=Outline!$E$12,A635+1,0)</f>
        <v>26</v>
      </c>
    </row>
    <row r="637" spans="1:1" ht="20.100000000000001" hidden="1" customHeight="1" x14ac:dyDescent="0.25">
      <c r="A637" s="151">
        <f>IF((A636+1)&lt;=Outline!$E$12,A636+1,0)</f>
        <v>27</v>
      </c>
    </row>
    <row r="638" spans="1:1" ht="20.100000000000001" hidden="1" customHeight="1" x14ac:dyDescent="0.25">
      <c r="A638" s="151">
        <f>IF((A637+1)&lt;=Outline!$E$12,A637+1,0)</f>
        <v>28</v>
      </c>
    </row>
    <row r="639" spans="1:1" ht="20.100000000000001" hidden="1" customHeight="1" x14ac:dyDescent="0.25">
      <c r="A639" s="151">
        <f>IF((A638+1)&lt;=Outline!$E$12,A638+1,0)</f>
        <v>29</v>
      </c>
    </row>
    <row r="640" spans="1:1" ht="20.100000000000001" hidden="1" customHeight="1" x14ac:dyDescent="0.25">
      <c r="A640" s="151">
        <f>IF((A639+1)&lt;=Outline!$E$12,A639+1,0)</f>
        <v>30</v>
      </c>
    </row>
    <row r="641" spans="1:1" ht="20.100000000000001" hidden="1" customHeight="1" x14ac:dyDescent="0.25">
      <c r="A641" s="151">
        <f>IF((A640+1)&lt;=Outline!$E$12,A640+1,0)</f>
        <v>31</v>
      </c>
    </row>
    <row r="642" spans="1:1" ht="20.100000000000001" hidden="1" customHeight="1" x14ac:dyDescent="0.25">
      <c r="A642" s="151">
        <f>IF((A641+1)&lt;=Outline!$E$12,A641+1,0)</f>
        <v>32</v>
      </c>
    </row>
    <row r="643" spans="1:1" ht="20.100000000000001" hidden="1" customHeight="1" x14ac:dyDescent="0.25">
      <c r="A643" s="151">
        <f>IF((A642+1)&lt;=Outline!$E$12,A642+1,0)</f>
        <v>33</v>
      </c>
    </row>
    <row r="644" spans="1:1" ht="20.100000000000001" hidden="1" customHeight="1" x14ac:dyDescent="0.25">
      <c r="A644" s="151">
        <f>IF((A643+1)&lt;=Outline!$E$12,A643+1,0)</f>
        <v>34</v>
      </c>
    </row>
    <row r="645" spans="1:1" ht="20.100000000000001" hidden="1" customHeight="1" x14ac:dyDescent="0.25">
      <c r="A645" s="151">
        <f>IF((A644+1)&lt;=Outline!$E$12,A644+1,0)</f>
        <v>35</v>
      </c>
    </row>
    <row r="646" spans="1:1" ht="20.100000000000001" hidden="1" customHeight="1" x14ac:dyDescent="0.25">
      <c r="A646" s="151">
        <f>IF((A645+1)&lt;=Outline!$E$12,A645+1,0)</f>
        <v>36</v>
      </c>
    </row>
    <row r="647" spans="1:1" ht="20.100000000000001" hidden="1" customHeight="1" x14ac:dyDescent="0.25">
      <c r="A647" s="151">
        <f>IF((A646+1)&lt;=Outline!$E$12,A646+1,0)</f>
        <v>37</v>
      </c>
    </row>
    <row r="648" spans="1:1" ht="20.100000000000001" hidden="1" customHeight="1" x14ac:dyDescent="0.25">
      <c r="A648" s="151">
        <f>IF((A647+1)&lt;=Outline!$E$12,A647+1,0)</f>
        <v>38</v>
      </c>
    </row>
    <row r="649" spans="1:1" ht="20.100000000000001" hidden="1" customHeight="1" x14ac:dyDescent="0.25">
      <c r="A649" s="151">
        <f>IF((A648+1)&lt;=Outline!$E$12,A648+1,0)</f>
        <v>39</v>
      </c>
    </row>
    <row r="650" spans="1:1" ht="20.100000000000001" hidden="1" customHeight="1" x14ac:dyDescent="0.25">
      <c r="A650" s="151">
        <f>IF((A649+1)&lt;=Outline!$E$12,A649+1,0)</f>
        <v>40</v>
      </c>
    </row>
    <row r="651" spans="1:1" ht="20.100000000000001" hidden="1" customHeight="1" x14ac:dyDescent="0.25">
      <c r="A651" s="151">
        <f>IF((A650+1)&lt;=Outline!$E$12,A650+1,0)</f>
        <v>41</v>
      </c>
    </row>
    <row r="652" spans="1:1" ht="20.100000000000001" hidden="1" customHeight="1" x14ac:dyDescent="0.25">
      <c r="A652" s="151">
        <f>IF((A651+1)&lt;=Outline!$E$12,A651+1,0)</f>
        <v>42</v>
      </c>
    </row>
    <row r="653" spans="1:1" ht="20.100000000000001" hidden="1" customHeight="1" x14ac:dyDescent="0.25">
      <c r="A653" s="151">
        <f>IF((A652+1)&lt;=Outline!$E$12,A652+1,0)</f>
        <v>0</v>
      </c>
    </row>
    <row r="654" spans="1:1" ht="20.100000000000001" hidden="1" customHeight="1" x14ac:dyDescent="0.25">
      <c r="A654" s="151">
        <f>IF((A653+1)&lt;=Outline!$E$12,A653+1,0)</f>
        <v>1</v>
      </c>
    </row>
    <row r="655" spans="1:1" ht="20.100000000000001" hidden="1" customHeight="1" x14ac:dyDescent="0.25">
      <c r="A655" s="151">
        <f>IF((A654+1)&lt;=Outline!$E$12,A654+1,0)</f>
        <v>2</v>
      </c>
    </row>
    <row r="656" spans="1:1" ht="20.100000000000001" hidden="1" customHeight="1" x14ac:dyDescent="0.25">
      <c r="A656" s="151">
        <f>IF((A655+1)&lt;=Outline!$E$12,A655+1,0)</f>
        <v>3</v>
      </c>
    </row>
    <row r="657" spans="1:1" ht="20.100000000000001" hidden="1" customHeight="1" x14ac:dyDescent="0.25">
      <c r="A657" s="151">
        <f>IF((A656+1)&lt;=Outline!$E$12,A656+1,0)</f>
        <v>4</v>
      </c>
    </row>
    <row r="658" spans="1:1" ht="20.100000000000001" hidden="1" customHeight="1" x14ac:dyDescent="0.25">
      <c r="A658" s="151">
        <f>IF((A657+1)&lt;=Outline!$E$12,A657+1,0)</f>
        <v>5</v>
      </c>
    </row>
    <row r="659" spans="1:1" ht="20.100000000000001" hidden="1" customHeight="1" x14ac:dyDescent="0.25">
      <c r="A659" s="151">
        <f>IF((A658+1)&lt;=Outline!$E$12,A658+1,0)</f>
        <v>6</v>
      </c>
    </row>
    <row r="660" spans="1:1" ht="20.100000000000001" hidden="1" customHeight="1" x14ac:dyDescent="0.25">
      <c r="A660" s="151">
        <f>IF((A659+1)&lt;=Outline!$E$12,A659+1,0)</f>
        <v>7</v>
      </c>
    </row>
    <row r="661" spans="1:1" ht="20.100000000000001" hidden="1" customHeight="1" x14ac:dyDescent="0.25">
      <c r="A661" s="151">
        <f>IF((A660+1)&lt;=Outline!$E$12,A660+1,0)</f>
        <v>8</v>
      </c>
    </row>
    <row r="662" spans="1:1" ht="20.100000000000001" hidden="1" customHeight="1" x14ac:dyDescent="0.25">
      <c r="A662" s="151">
        <f>IF((A661+1)&lt;=Outline!$E$12,A661+1,0)</f>
        <v>9</v>
      </c>
    </row>
    <row r="663" spans="1:1" ht="20.100000000000001" hidden="1" customHeight="1" x14ac:dyDescent="0.25">
      <c r="A663" s="151">
        <f>IF((A662+1)&lt;=Outline!$E$12,A662+1,0)</f>
        <v>10</v>
      </c>
    </row>
    <row r="664" spans="1:1" ht="20.100000000000001" hidden="1" customHeight="1" x14ac:dyDescent="0.25">
      <c r="A664" s="151">
        <f>IF((A663+1)&lt;=Outline!$E$12,A663+1,0)</f>
        <v>11</v>
      </c>
    </row>
    <row r="665" spans="1:1" ht="20.100000000000001" hidden="1" customHeight="1" x14ac:dyDescent="0.25">
      <c r="A665" s="151">
        <f>IF((A664+1)&lt;=Outline!$E$12,A664+1,0)</f>
        <v>12</v>
      </c>
    </row>
    <row r="666" spans="1:1" ht="20.100000000000001" hidden="1" customHeight="1" x14ac:dyDescent="0.25">
      <c r="A666" s="151">
        <f>IF((A665+1)&lt;=Outline!$E$12,A665+1,0)</f>
        <v>13</v>
      </c>
    </row>
    <row r="667" spans="1:1" ht="20.100000000000001" hidden="1" customHeight="1" x14ac:dyDescent="0.25">
      <c r="A667" s="151">
        <f>IF((A666+1)&lt;=Outline!$E$12,A666+1,0)</f>
        <v>14</v>
      </c>
    </row>
    <row r="668" spans="1:1" ht="20.100000000000001" hidden="1" customHeight="1" x14ac:dyDescent="0.25">
      <c r="A668" s="151">
        <f>IF((A667+1)&lt;=Outline!$E$12,A667+1,0)</f>
        <v>15</v>
      </c>
    </row>
    <row r="669" spans="1:1" ht="20.100000000000001" hidden="1" customHeight="1" x14ac:dyDescent="0.25">
      <c r="A669" s="151">
        <f>IF((A668+1)&lt;=Outline!$E$12,A668+1,0)</f>
        <v>16</v>
      </c>
    </row>
    <row r="670" spans="1:1" ht="20.100000000000001" hidden="1" customHeight="1" x14ac:dyDescent="0.25">
      <c r="A670" s="151">
        <f>IF((A669+1)&lt;=Outline!$E$12,A669+1,0)</f>
        <v>17</v>
      </c>
    </row>
    <row r="671" spans="1:1" ht="20.100000000000001" hidden="1" customHeight="1" x14ac:dyDescent="0.25">
      <c r="A671" s="151">
        <f>IF((A670+1)&lt;=Outline!$E$12,A670+1,0)</f>
        <v>18</v>
      </c>
    </row>
    <row r="672" spans="1:1" ht="20.100000000000001" hidden="1" customHeight="1" x14ac:dyDescent="0.25">
      <c r="A672" s="151">
        <f>IF((A671+1)&lt;=Outline!$E$12,A671+1,0)</f>
        <v>19</v>
      </c>
    </row>
    <row r="673" spans="1:1" ht="20.100000000000001" hidden="1" customHeight="1" x14ac:dyDescent="0.25">
      <c r="A673" s="151">
        <f>IF((A672+1)&lt;=Outline!$E$12,A672+1,0)</f>
        <v>20</v>
      </c>
    </row>
    <row r="674" spans="1:1" ht="20.100000000000001" hidden="1" customHeight="1" x14ac:dyDescent="0.25">
      <c r="A674" s="151">
        <f>IF((A673+1)&lt;=Outline!$E$12,A673+1,0)</f>
        <v>21</v>
      </c>
    </row>
    <row r="675" spans="1:1" ht="20.100000000000001" hidden="1" customHeight="1" x14ac:dyDescent="0.25">
      <c r="A675" s="151">
        <f>IF((A674+1)&lt;=Outline!$E$12,A674+1,0)</f>
        <v>22</v>
      </c>
    </row>
    <row r="676" spans="1:1" ht="20.100000000000001" hidden="1" customHeight="1" x14ac:dyDescent="0.25">
      <c r="A676" s="151">
        <f>IF((A675+1)&lt;=Outline!$E$12,A675+1,0)</f>
        <v>23</v>
      </c>
    </row>
    <row r="677" spans="1:1" ht="20.100000000000001" hidden="1" customHeight="1" x14ac:dyDescent="0.25">
      <c r="A677" s="151">
        <f>IF((A676+1)&lt;=Outline!$E$12,A676+1,0)</f>
        <v>24</v>
      </c>
    </row>
    <row r="678" spans="1:1" ht="20.100000000000001" hidden="1" customHeight="1" x14ac:dyDescent="0.25">
      <c r="A678" s="151">
        <f>IF((A677+1)&lt;=Outline!$E$12,A677+1,0)</f>
        <v>25</v>
      </c>
    </row>
    <row r="679" spans="1:1" ht="20.100000000000001" hidden="1" customHeight="1" x14ac:dyDescent="0.25">
      <c r="A679" s="151">
        <f>IF((A678+1)&lt;=Outline!$E$12,A678+1,0)</f>
        <v>26</v>
      </c>
    </row>
    <row r="680" spans="1:1" ht="20.100000000000001" hidden="1" customHeight="1" x14ac:dyDescent="0.25">
      <c r="A680" s="151">
        <f>IF((A679+1)&lt;=Outline!$E$12,A679+1,0)</f>
        <v>27</v>
      </c>
    </row>
    <row r="681" spans="1:1" ht="20.100000000000001" hidden="1" customHeight="1" x14ac:dyDescent="0.25">
      <c r="A681" s="151">
        <f>IF((A680+1)&lt;=Outline!$E$12,A680+1,0)</f>
        <v>28</v>
      </c>
    </row>
    <row r="682" spans="1:1" ht="20.100000000000001" hidden="1" customHeight="1" x14ac:dyDescent="0.25">
      <c r="A682" s="151">
        <f>IF((A681+1)&lt;=Outline!$E$12,A681+1,0)</f>
        <v>29</v>
      </c>
    </row>
    <row r="683" spans="1:1" ht="20.100000000000001" hidden="1" customHeight="1" x14ac:dyDescent="0.25">
      <c r="A683" s="151">
        <f>IF((A682+1)&lt;=Outline!$E$12,A682+1,0)</f>
        <v>30</v>
      </c>
    </row>
    <row r="684" spans="1:1" ht="20.100000000000001" hidden="1" customHeight="1" x14ac:dyDescent="0.25">
      <c r="A684" s="151">
        <f>IF((A683+1)&lt;=Outline!$E$12,A683+1,0)</f>
        <v>31</v>
      </c>
    </row>
    <row r="685" spans="1:1" ht="20.100000000000001" hidden="1" customHeight="1" x14ac:dyDescent="0.25">
      <c r="A685" s="151">
        <f>IF((A684+1)&lt;=Outline!$E$12,A684+1,0)</f>
        <v>32</v>
      </c>
    </row>
    <row r="686" spans="1:1" ht="20.100000000000001" hidden="1" customHeight="1" x14ac:dyDescent="0.25">
      <c r="A686" s="151">
        <f>IF((A685+1)&lt;=Outline!$E$12,A685+1,0)</f>
        <v>33</v>
      </c>
    </row>
    <row r="687" spans="1:1" ht="20.100000000000001" hidden="1" customHeight="1" x14ac:dyDescent="0.25">
      <c r="A687" s="151">
        <f>IF((A686+1)&lt;=Outline!$E$12,A686+1,0)</f>
        <v>34</v>
      </c>
    </row>
    <row r="688" spans="1:1" ht="20.100000000000001" hidden="1" customHeight="1" x14ac:dyDescent="0.25">
      <c r="A688" s="151">
        <f>IF((A687+1)&lt;=Outline!$E$12,A687+1,0)</f>
        <v>35</v>
      </c>
    </row>
    <row r="689" spans="1:1" ht="20.100000000000001" hidden="1" customHeight="1" x14ac:dyDescent="0.25">
      <c r="A689" s="151">
        <f>IF((A688+1)&lt;=Outline!$E$12,A688+1,0)</f>
        <v>36</v>
      </c>
    </row>
    <row r="690" spans="1:1" ht="20.100000000000001" hidden="1" customHeight="1" x14ac:dyDescent="0.25">
      <c r="A690" s="151">
        <f>IF((A689+1)&lt;=Outline!$E$12,A689+1,0)</f>
        <v>37</v>
      </c>
    </row>
    <row r="691" spans="1:1" ht="20.100000000000001" hidden="1" customHeight="1" x14ac:dyDescent="0.25">
      <c r="A691" s="151">
        <f>IF((A690+1)&lt;=Outline!$E$12,A690+1,0)</f>
        <v>38</v>
      </c>
    </row>
    <row r="692" spans="1:1" ht="20.100000000000001" hidden="1" customHeight="1" x14ac:dyDescent="0.25">
      <c r="A692" s="151">
        <f>IF((A691+1)&lt;=Outline!$E$12,A691+1,0)</f>
        <v>39</v>
      </c>
    </row>
    <row r="693" spans="1:1" ht="20.100000000000001" hidden="1" customHeight="1" x14ac:dyDescent="0.25">
      <c r="A693" s="151">
        <f>IF((A692+1)&lt;=Outline!$E$12,A692+1,0)</f>
        <v>40</v>
      </c>
    </row>
    <row r="694" spans="1:1" ht="20.100000000000001" hidden="1" customHeight="1" x14ac:dyDescent="0.25">
      <c r="A694" s="151">
        <f>IF((A693+1)&lt;=Outline!$E$12,A693+1,0)</f>
        <v>41</v>
      </c>
    </row>
    <row r="695" spans="1:1" ht="20.100000000000001" hidden="1" customHeight="1" x14ac:dyDescent="0.25">
      <c r="A695" s="151">
        <f>IF((A694+1)&lt;=Outline!$E$12,A694+1,0)</f>
        <v>42</v>
      </c>
    </row>
    <row r="696" spans="1:1" ht="20.100000000000001" hidden="1" customHeight="1" x14ac:dyDescent="0.25">
      <c r="A696" s="151">
        <f>IF((A695+1)&lt;=Outline!$E$12,A695+1,0)</f>
        <v>0</v>
      </c>
    </row>
    <row r="697" spans="1:1" ht="20.100000000000001" hidden="1" customHeight="1" x14ac:dyDescent="0.25">
      <c r="A697" s="151">
        <f>IF((A696+1)&lt;=Outline!$E$12,A696+1,0)</f>
        <v>1</v>
      </c>
    </row>
    <row r="698" spans="1:1" ht="20.100000000000001" hidden="1" customHeight="1" x14ac:dyDescent="0.25">
      <c r="A698" s="151">
        <f>IF((A697+1)&lt;=Outline!$E$12,A697+1,0)</f>
        <v>2</v>
      </c>
    </row>
    <row r="699" spans="1:1" ht="20.100000000000001" hidden="1" customHeight="1" x14ac:dyDescent="0.25">
      <c r="A699" s="151">
        <f>IF((A698+1)&lt;=Outline!$E$12,A698+1,0)</f>
        <v>3</v>
      </c>
    </row>
    <row r="700" spans="1:1" ht="20.100000000000001" hidden="1" customHeight="1" x14ac:dyDescent="0.25">
      <c r="A700" s="151">
        <f>IF((A699+1)&lt;=Outline!$E$12,A699+1,0)</f>
        <v>4</v>
      </c>
    </row>
    <row r="701" spans="1:1" ht="20.100000000000001" hidden="1" customHeight="1" x14ac:dyDescent="0.25">
      <c r="A701" s="151">
        <f>IF((A700+1)&lt;=Outline!$E$12,A700+1,0)</f>
        <v>5</v>
      </c>
    </row>
    <row r="702" spans="1:1" ht="20.100000000000001" hidden="1" customHeight="1" x14ac:dyDescent="0.25">
      <c r="A702" s="151">
        <f>IF((A701+1)&lt;=Outline!$E$12,A701+1,0)</f>
        <v>6</v>
      </c>
    </row>
    <row r="703" spans="1:1" ht="20.100000000000001" hidden="1" customHeight="1" x14ac:dyDescent="0.25">
      <c r="A703" s="151">
        <f>IF((A702+1)&lt;=Outline!$E$12,A702+1,0)</f>
        <v>7</v>
      </c>
    </row>
    <row r="704" spans="1:1" ht="20.100000000000001" hidden="1" customHeight="1" x14ac:dyDescent="0.25">
      <c r="A704" s="151">
        <f>IF((A703+1)&lt;=Outline!$E$12,A703+1,0)</f>
        <v>8</v>
      </c>
    </row>
    <row r="705" spans="1:1" ht="20.100000000000001" hidden="1" customHeight="1" x14ac:dyDescent="0.25">
      <c r="A705" s="151">
        <f>IF((A704+1)&lt;=Outline!$E$12,A704+1,0)</f>
        <v>9</v>
      </c>
    </row>
    <row r="706" spans="1:1" ht="20.100000000000001" hidden="1" customHeight="1" x14ac:dyDescent="0.25">
      <c r="A706" s="151">
        <f>IF((A705+1)&lt;=Outline!$E$12,A705+1,0)</f>
        <v>10</v>
      </c>
    </row>
    <row r="707" spans="1:1" ht="20.100000000000001" hidden="1" customHeight="1" x14ac:dyDescent="0.25">
      <c r="A707" s="151">
        <f>IF((A706+1)&lt;=Outline!$E$12,A706+1,0)</f>
        <v>11</v>
      </c>
    </row>
    <row r="708" spans="1:1" ht="20.100000000000001" hidden="1" customHeight="1" x14ac:dyDescent="0.25">
      <c r="A708" s="151">
        <f>IF((A707+1)&lt;=Outline!$E$12,A707+1,0)</f>
        <v>12</v>
      </c>
    </row>
    <row r="709" spans="1:1" ht="20.100000000000001" hidden="1" customHeight="1" x14ac:dyDescent="0.25">
      <c r="A709" s="151">
        <f>IF((A708+1)&lt;=Outline!$E$12,A708+1,0)</f>
        <v>13</v>
      </c>
    </row>
    <row r="710" spans="1:1" ht="20.100000000000001" hidden="1" customHeight="1" x14ac:dyDescent="0.25">
      <c r="A710" s="151">
        <f>IF((A709+1)&lt;=Outline!$E$12,A709+1,0)</f>
        <v>14</v>
      </c>
    </row>
    <row r="711" spans="1:1" ht="20.100000000000001" hidden="1" customHeight="1" x14ac:dyDescent="0.25">
      <c r="A711" s="151">
        <f>IF((A710+1)&lt;=Outline!$E$12,A710+1,0)</f>
        <v>15</v>
      </c>
    </row>
    <row r="712" spans="1:1" ht="20.100000000000001" hidden="1" customHeight="1" x14ac:dyDescent="0.25">
      <c r="A712" s="151">
        <f>IF((A711+1)&lt;=Outline!$E$12,A711+1,0)</f>
        <v>16</v>
      </c>
    </row>
    <row r="713" spans="1:1" ht="20.100000000000001" hidden="1" customHeight="1" x14ac:dyDescent="0.25">
      <c r="A713" s="151">
        <f>IF((A712+1)&lt;=Outline!$E$12,A712+1,0)</f>
        <v>17</v>
      </c>
    </row>
    <row r="714" spans="1:1" ht="20.100000000000001" hidden="1" customHeight="1" x14ac:dyDescent="0.25">
      <c r="A714" s="151">
        <f>IF((A713+1)&lt;=Outline!$E$12,A713+1,0)</f>
        <v>18</v>
      </c>
    </row>
    <row r="715" spans="1:1" ht="20.100000000000001" hidden="1" customHeight="1" x14ac:dyDescent="0.25">
      <c r="A715" s="151">
        <f>IF((A714+1)&lt;=Outline!$E$12,A714+1,0)</f>
        <v>19</v>
      </c>
    </row>
    <row r="716" spans="1:1" ht="20.100000000000001" hidden="1" customHeight="1" x14ac:dyDescent="0.25">
      <c r="A716" s="151">
        <f>IF((A715+1)&lt;=Outline!$E$12,A715+1,0)</f>
        <v>20</v>
      </c>
    </row>
    <row r="717" spans="1:1" ht="20.100000000000001" hidden="1" customHeight="1" x14ac:dyDescent="0.25">
      <c r="A717" s="151">
        <f>IF((A716+1)&lt;=Outline!$E$12,A716+1,0)</f>
        <v>21</v>
      </c>
    </row>
    <row r="718" spans="1:1" ht="20.100000000000001" hidden="1" customHeight="1" x14ac:dyDescent="0.25">
      <c r="A718" s="151">
        <f>IF((A717+1)&lt;=Outline!$E$12,A717+1,0)</f>
        <v>22</v>
      </c>
    </row>
    <row r="719" spans="1:1" ht="20.100000000000001" hidden="1" customHeight="1" x14ac:dyDescent="0.25">
      <c r="A719" s="151">
        <f>IF((A718+1)&lt;=Outline!$E$12,A718+1,0)</f>
        <v>23</v>
      </c>
    </row>
    <row r="720" spans="1:1" ht="20.100000000000001" hidden="1" customHeight="1" x14ac:dyDescent="0.25">
      <c r="A720" s="151">
        <f>IF((A719+1)&lt;=Outline!$E$12,A719+1,0)</f>
        <v>24</v>
      </c>
    </row>
    <row r="721" spans="1:1" ht="20.100000000000001" hidden="1" customHeight="1" x14ac:dyDescent="0.25">
      <c r="A721" s="151">
        <f>IF((A720+1)&lt;=Outline!$E$12,A720+1,0)</f>
        <v>25</v>
      </c>
    </row>
    <row r="722" spans="1:1" ht="20.100000000000001" hidden="1" customHeight="1" x14ac:dyDescent="0.25">
      <c r="A722" s="151">
        <f>IF((A721+1)&lt;=Outline!$E$12,A721+1,0)</f>
        <v>26</v>
      </c>
    </row>
    <row r="723" spans="1:1" ht="20.100000000000001" hidden="1" customHeight="1" x14ac:dyDescent="0.25">
      <c r="A723" s="151">
        <f>IF((A722+1)&lt;=Outline!$E$12,A722+1,0)</f>
        <v>27</v>
      </c>
    </row>
    <row r="724" spans="1:1" ht="20.100000000000001" hidden="1" customHeight="1" x14ac:dyDescent="0.25">
      <c r="A724" s="151">
        <f>IF((A723+1)&lt;=Outline!$E$12,A723+1,0)</f>
        <v>28</v>
      </c>
    </row>
    <row r="725" spans="1:1" ht="20.100000000000001" hidden="1" customHeight="1" x14ac:dyDescent="0.25">
      <c r="A725" s="151">
        <f>IF((A724+1)&lt;=Outline!$E$12,A724+1,0)</f>
        <v>29</v>
      </c>
    </row>
    <row r="726" spans="1:1" ht="20.100000000000001" hidden="1" customHeight="1" x14ac:dyDescent="0.25">
      <c r="A726" s="151">
        <f>IF((A725+1)&lt;=Outline!$E$12,A725+1,0)</f>
        <v>30</v>
      </c>
    </row>
    <row r="727" spans="1:1" ht="20.100000000000001" hidden="1" customHeight="1" x14ac:dyDescent="0.25">
      <c r="A727" s="151">
        <f>IF((A726+1)&lt;=Outline!$E$12,A726+1,0)</f>
        <v>31</v>
      </c>
    </row>
    <row r="728" spans="1:1" ht="20.100000000000001" hidden="1" customHeight="1" x14ac:dyDescent="0.25">
      <c r="A728" s="151">
        <f>IF((A727+1)&lt;=Outline!$E$12,A727+1,0)</f>
        <v>32</v>
      </c>
    </row>
    <row r="729" spans="1:1" ht="20.100000000000001" hidden="1" customHeight="1" x14ac:dyDescent="0.25">
      <c r="A729" s="151">
        <f>IF((A728+1)&lt;=Outline!$E$12,A728+1,0)</f>
        <v>33</v>
      </c>
    </row>
    <row r="730" spans="1:1" ht="20.100000000000001" hidden="1" customHeight="1" x14ac:dyDescent="0.25">
      <c r="A730" s="151">
        <f>IF((A729+1)&lt;=Outline!$E$12,A729+1,0)</f>
        <v>34</v>
      </c>
    </row>
    <row r="731" spans="1:1" ht="20.100000000000001" hidden="1" customHeight="1" x14ac:dyDescent="0.25">
      <c r="A731" s="151">
        <f>IF((A730+1)&lt;=Outline!$E$12,A730+1,0)</f>
        <v>35</v>
      </c>
    </row>
    <row r="732" spans="1:1" ht="20.100000000000001" hidden="1" customHeight="1" x14ac:dyDescent="0.25">
      <c r="A732" s="151">
        <f>IF((A731+1)&lt;=Outline!$E$12,A731+1,0)</f>
        <v>36</v>
      </c>
    </row>
    <row r="733" spans="1:1" ht="20.100000000000001" hidden="1" customHeight="1" x14ac:dyDescent="0.25">
      <c r="A733" s="151">
        <f>IF((A732+1)&lt;=Outline!$E$12,A732+1,0)</f>
        <v>37</v>
      </c>
    </row>
    <row r="734" spans="1:1" ht="20.100000000000001" hidden="1" customHeight="1" x14ac:dyDescent="0.25">
      <c r="A734" s="151">
        <f>IF((A733+1)&lt;=Outline!$E$12,A733+1,0)</f>
        <v>38</v>
      </c>
    </row>
    <row r="735" spans="1:1" ht="20.100000000000001" hidden="1" customHeight="1" x14ac:dyDescent="0.25">
      <c r="A735" s="151">
        <f>IF((A734+1)&lt;=Outline!$E$12,A734+1,0)</f>
        <v>39</v>
      </c>
    </row>
    <row r="736" spans="1:1" ht="20.100000000000001" hidden="1" customHeight="1" x14ac:dyDescent="0.25">
      <c r="A736" s="151">
        <f>IF((A735+1)&lt;=Outline!$E$12,A735+1,0)</f>
        <v>40</v>
      </c>
    </row>
    <row r="737" spans="1:1" ht="20.100000000000001" hidden="1" customHeight="1" x14ac:dyDescent="0.25">
      <c r="A737" s="151">
        <f>IF((A736+1)&lt;=Outline!$E$12,A736+1,0)</f>
        <v>41</v>
      </c>
    </row>
    <row r="738" spans="1:1" ht="20.100000000000001" hidden="1" customHeight="1" x14ac:dyDescent="0.25">
      <c r="A738" s="151">
        <f>IF((A737+1)&lt;=Outline!$E$12,A737+1,0)</f>
        <v>42</v>
      </c>
    </row>
    <row r="739" spans="1:1" ht="20.100000000000001" hidden="1" customHeight="1" x14ac:dyDescent="0.25">
      <c r="A739" s="151">
        <f>IF((A738+1)&lt;=Outline!$E$12,A738+1,0)</f>
        <v>0</v>
      </c>
    </row>
    <row r="740" spans="1:1" ht="20.100000000000001" hidden="1" customHeight="1" x14ac:dyDescent="0.25">
      <c r="A740" s="151">
        <f>IF((A739+1)&lt;=Outline!$E$12,A739+1,0)</f>
        <v>1</v>
      </c>
    </row>
    <row r="741" spans="1:1" ht="20.100000000000001" hidden="1" customHeight="1" x14ac:dyDescent="0.25">
      <c r="A741" s="151">
        <f>IF((A740+1)&lt;=Outline!$E$12,A740+1,0)</f>
        <v>2</v>
      </c>
    </row>
    <row r="742" spans="1:1" ht="20.100000000000001" hidden="1" customHeight="1" x14ac:dyDescent="0.25">
      <c r="A742" s="151">
        <f>IF((A741+1)&lt;=Outline!$E$12,A741+1,0)</f>
        <v>3</v>
      </c>
    </row>
    <row r="743" spans="1:1" ht="20.100000000000001" hidden="1" customHeight="1" x14ac:dyDescent="0.25">
      <c r="A743" s="151">
        <f>IF((A742+1)&lt;=Outline!$E$12,A742+1,0)</f>
        <v>4</v>
      </c>
    </row>
    <row r="744" spans="1:1" ht="20.100000000000001" hidden="1" customHeight="1" x14ac:dyDescent="0.25">
      <c r="A744" s="151">
        <f>IF((A743+1)&lt;=Outline!$E$12,A743+1,0)</f>
        <v>5</v>
      </c>
    </row>
    <row r="745" spans="1:1" ht="20.100000000000001" hidden="1" customHeight="1" x14ac:dyDescent="0.25">
      <c r="A745" s="151">
        <f>IF((A744+1)&lt;=Outline!$E$12,A744+1,0)</f>
        <v>6</v>
      </c>
    </row>
    <row r="746" spans="1:1" ht="20.100000000000001" hidden="1" customHeight="1" x14ac:dyDescent="0.25">
      <c r="A746" s="151">
        <f>IF((A745+1)&lt;=Outline!$E$12,A745+1,0)</f>
        <v>7</v>
      </c>
    </row>
    <row r="747" spans="1:1" ht="20.100000000000001" hidden="1" customHeight="1" x14ac:dyDescent="0.25">
      <c r="A747" s="151">
        <f>IF((A746+1)&lt;=Outline!$E$12,A746+1,0)</f>
        <v>8</v>
      </c>
    </row>
    <row r="748" spans="1:1" ht="20.100000000000001" hidden="1" customHeight="1" x14ac:dyDescent="0.25">
      <c r="A748" s="151">
        <f>IF((A747+1)&lt;=Outline!$E$12,A747+1,0)</f>
        <v>9</v>
      </c>
    </row>
    <row r="749" spans="1:1" ht="20.100000000000001" hidden="1" customHeight="1" x14ac:dyDescent="0.25">
      <c r="A749" s="151">
        <f>IF((A748+1)&lt;=Outline!$E$12,A748+1,0)</f>
        <v>10</v>
      </c>
    </row>
    <row r="750" spans="1:1" ht="20.100000000000001" hidden="1" customHeight="1" x14ac:dyDescent="0.25">
      <c r="A750" s="151">
        <f>IF((A749+1)&lt;=Outline!$E$12,A749+1,0)</f>
        <v>11</v>
      </c>
    </row>
    <row r="751" spans="1:1" ht="20.100000000000001" hidden="1" customHeight="1" x14ac:dyDescent="0.25">
      <c r="A751" s="151">
        <f>IF((A750+1)&lt;=Outline!$E$12,A750+1,0)</f>
        <v>12</v>
      </c>
    </row>
    <row r="752" spans="1:1" ht="20.100000000000001" hidden="1" customHeight="1" x14ac:dyDescent="0.25">
      <c r="A752" s="151">
        <f>IF((A751+1)&lt;=Outline!$E$12,A751+1,0)</f>
        <v>13</v>
      </c>
    </row>
    <row r="753" spans="1:1" ht="20.100000000000001" hidden="1" customHeight="1" x14ac:dyDescent="0.25">
      <c r="A753" s="151">
        <f>IF((A752+1)&lt;=Outline!$E$12,A752+1,0)</f>
        <v>14</v>
      </c>
    </row>
    <row r="754" spans="1:1" ht="20.100000000000001" hidden="1" customHeight="1" x14ac:dyDescent="0.25">
      <c r="A754" s="151">
        <f>IF((A753+1)&lt;=Outline!$E$12,A753+1,0)</f>
        <v>15</v>
      </c>
    </row>
    <row r="755" spans="1:1" ht="20.100000000000001" hidden="1" customHeight="1" x14ac:dyDescent="0.25">
      <c r="A755" s="151">
        <f>IF((A754+1)&lt;=Outline!$E$12,A754+1,0)</f>
        <v>16</v>
      </c>
    </row>
    <row r="756" spans="1:1" ht="20.100000000000001" hidden="1" customHeight="1" x14ac:dyDescent="0.25">
      <c r="A756" s="151">
        <f>IF((A755+1)&lt;=Outline!$E$12,A755+1,0)</f>
        <v>17</v>
      </c>
    </row>
    <row r="757" spans="1:1" ht="20.100000000000001" hidden="1" customHeight="1" x14ac:dyDescent="0.25">
      <c r="A757" s="151">
        <f>IF((A756+1)&lt;=Outline!$E$12,A756+1,0)</f>
        <v>18</v>
      </c>
    </row>
    <row r="758" spans="1:1" ht="20.100000000000001" hidden="1" customHeight="1" x14ac:dyDescent="0.25">
      <c r="A758" s="151">
        <f>IF((A757+1)&lt;=Outline!$E$12,A757+1,0)</f>
        <v>19</v>
      </c>
    </row>
    <row r="759" spans="1:1" ht="20.100000000000001" hidden="1" customHeight="1" x14ac:dyDescent="0.25">
      <c r="A759" s="151">
        <f>IF((A758+1)&lt;=Outline!$E$12,A758+1,0)</f>
        <v>20</v>
      </c>
    </row>
    <row r="760" spans="1:1" ht="20.100000000000001" hidden="1" customHeight="1" x14ac:dyDescent="0.25">
      <c r="A760" s="151">
        <f>IF((A759+1)&lt;=Outline!$E$12,A759+1,0)</f>
        <v>21</v>
      </c>
    </row>
    <row r="761" spans="1:1" ht="20.100000000000001" hidden="1" customHeight="1" x14ac:dyDescent="0.25">
      <c r="A761" s="151">
        <f>IF((A760+1)&lt;=Outline!$E$12,A760+1,0)</f>
        <v>22</v>
      </c>
    </row>
    <row r="762" spans="1:1" ht="20.100000000000001" hidden="1" customHeight="1" x14ac:dyDescent="0.25">
      <c r="A762" s="151">
        <f>IF((A761+1)&lt;=Outline!$E$12,A761+1,0)</f>
        <v>23</v>
      </c>
    </row>
    <row r="763" spans="1:1" ht="20.100000000000001" hidden="1" customHeight="1" x14ac:dyDescent="0.25">
      <c r="A763" s="151">
        <f>IF((A762+1)&lt;=Outline!$E$12,A762+1,0)</f>
        <v>24</v>
      </c>
    </row>
    <row r="764" spans="1:1" ht="20.100000000000001" hidden="1" customHeight="1" x14ac:dyDescent="0.25">
      <c r="A764" s="151">
        <f>IF((A763+1)&lt;=Outline!$E$12,A763+1,0)</f>
        <v>25</v>
      </c>
    </row>
    <row r="765" spans="1:1" ht="20.100000000000001" hidden="1" customHeight="1" x14ac:dyDescent="0.25">
      <c r="A765" s="151">
        <f>IF((A764+1)&lt;=Outline!$E$12,A764+1,0)</f>
        <v>26</v>
      </c>
    </row>
    <row r="766" spans="1:1" ht="20.100000000000001" hidden="1" customHeight="1" x14ac:dyDescent="0.25">
      <c r="A766" s="151">
        <f>IF((A765+1)&lt;=Outline!$E$12,A765+1,0)</f>
        <v>27</v>
      </c>
    </row>
    <row r="767" spans="1:1" ht="20.100000000000001" hidden="1" customHeight="1" x14ac:dyDescent="0.25">
      <c r="A767" s="151">
        <f>IF((A766+1)&lt;=Outline!$E$12,A766+1,0)</f>
        <v>28</v>
      </c>
    </row>
    <row r="768" spans="1:1" ht="20.100000000000001" hidden="1" customHeight="1" x14ac:dyDescent="0.25">
      <c r="A768" s="151">
        <f>IF((A767+1)&lt;=Outline!$E$12,A767+1,0)</f>
        <v>29</v>
      </c>
    </row>
    <row r="769" spans="1:1" ht="20.100000000000001" hidden="1" customHeight="1" x14ac:dyDescent="0.25">
      <c r="A769" s="151">
        <f>IF((A768+1)&lt;=Outline!$E$12,A768+1,0)</f>
        <v>30</v>
      </c>
    </row>
    <row r="770" spans="1:1" ht="20.100000000000001" hidden="1" customHeight="1" x14ac:dyDescent="0.25">
      <c r="A770" s="151">
        <f>IF((A769+1)&lt;=Outline!$E$12,A769+1,0)</f>
        <v>31</v>
      </c>
    </row>
    <row r="771" spans="1:1" ht="20.100000000000001" hidden="1" customHeight="1" x14ac:dyDescent="0.25">
      <c r="A771" s="151">
        <f>IF((A770+1)&lt;=Outline!$E$12,A770+1,0)</f>
        <v>32</v>
      </c>
    </row>
    <row r="772" spans="1:1" ht="20.100000000000001" hidden="1" customHeight="1" x14ac:dyDescent="0.25">
      <c r="A772" s="151">
        <f>IF((A771+1)&lt;=Outline!$E$12,A771+1,0)</f>
        <v>33</v>
      </c>
    </row>
    <row r="773" spans="1:1" ht="20.100000000000001" hidden="1" customHeight="1" x14ac:dyDescent="0.25">
      <c r="A773" s="151">
        <f>IF((A772+1)&lt;=Outline!$E$12,A772+1,0)</f>
        <v>34</v>
      </c>
    </row>
    <row r="774" spans="1:1" ht="20.100000000000001" hidden="1" customHeight="1" x14ac:dyDescent="0.25">
      <c r="A774" s="151">
        <f>IF((A773+1)&lt;=Outline!$E$12,A773+1,0)</f>
        <v>35</v>
      </c>
    </row>
    <row r="775" spans="1:1" ht="20.100000000000001" hidden="1" customHeight="1" x14ac:dyDescent="0.25">
      <c r="A775" s="151">
        <f>IF((A774+1)&lt;=Outline!$E$12,A774+1,0)</f>
        <v>36</v>
      </c>
    </row>
    <row r="776" spans="1:1" ht="20.100000000000001" hidden="1" customHeight="1" x14ac:dyDescent="0.25">
      <c r="A776" s="151">
        <f>IF((A775+1)&lt;=Outline!$E$12,A775+1,0)</f>
        <v>37</v>
      </c>
    </row>
    <row r="777" spans="1:1" ht="20.100000000000001" hidden="1" customHeight="1" x14ac:dyDescent="0.25">
      <c r="A777" s="151">
        <f>IF((A776+1)&lt;=Outline!$E$12,A776+1,0)</f>
        <v>38</v>
      </c>
    </row>
    <row r="778" spans="1:1" ht="20.100000000000001" hidden="1" customHeight="1" x14ac:dyDescent="0.25">
      <c r="A778" s="151">
        <f>IF((A777+1)&lt;=Outline!$E$12,A777+1,0)</f>
        <v>39</v>
      </c>
    </row>
    <row r="779" spans="1:1" ht="20.100000000000001" hidden="1" customHeight="1" x14ac:dyDescent="0.25">
      <c r="A779" s="151">
        <f>IF((A778+1)&lt;=Outline!$E$12,A778+1,0)</f>
        <v>40</v>
      </c>
    </row>
    <row r="780" spans="1:1" ht="20.100000000000001" hidden="1" customHeight="1" x14ac:dyDescent="0.25">
      <c r="A780" s="151">
        <f>IF((A779+1)&lt;=Outline!$E$12,A779+1,0)</f>
        <v>41</v>
      </c>
    </row>
    <row r="781" spans="1:1" ht="20.100000000000001" hidden="1" customHeight="1" x14ac:dyDescent="0.25">
      <c r="A781" s="151">
        <f>IF((A780+1)&lt;=Outline!$E$12,A780+1,0)</f>
        <v>42</v>
      </c>
    </row>
    <row r="782" spans="1:1" ht="20.100000000000001" hidden="1" customHeight="1" x14ac:dyDescent="0.25">
      <c r="A782" s="151">
        <f>IF((A781+1)&lt;=Outline!$E$12,A781+1,0)</f>
        <v>0</v>
      </c>
    </row>
    <row r="783" spans="1:1" ht="20.100000000000001" hidden="1" customHeight="1" x14ac:dyDescent="0.25">
      <c r="A783" s="151">
        <f>IF((A782+1)&lt;=Outline!$E$12,A782+1,0)</f>
        <v>1</v>
      </c>
    </row>
    <row r="784" spans="1:1" ht="20.100000000000001" hidden="1" customHeight="1" x14ac:dyDescent="0.25">
      <c r="A784" s="151">
        <f>IF((A783+1)&lt;=Outline!$E$12,A783+1,0)</f>
        <v>2</v>
      </c>
    </row>
    <row r="785" spans="1:1" ht="20.100000000000001" hidden="1" customHeight="1" x14ac:dyDescent="0.25">
      <c r="A785" s="151">
        <f>IF((A784+1)&lt;=Outline!$E$12,A784+1,0)</f>
        <v>3</v>
      </c>
    </row>
    <row r="786" spans="1:1" ht="20.100000000000001" hidden="1" customHeight="1" x14ac:dyDescent="0.25">
      <c r="A786" s="151">
        <f>IF((A785+1)&lt;=Outline!$E$12,A785+1,0)</f>
        <v>4</v>
      </c>
    </row>
    <row r="787" spans="1:1" ht="20.100000000000001" hidden="1" customHeight="1" x14ac:dyDescent="0.25">
      <c r="A787" s="151">
        <f>IF((A786+1)&lt;=Outline!$E$12,A786+1,0)</f>
        <v>5</v>
      </c>
    </row>
    <row r="788" spans="1:1" ht="20.100000000000001" hidden="1" customHeight="1" x14ac:dyDescent="0.25">
      <c r="A788" s="151">
        <f>IF((A787+1)&lt;=Outline!$E$12,A787+1,0)</f>
        <v>6</v>
      </c>
    </row>
    <row r="789" spans="1:1" ht="20.100000000000001" hidden="1" customHeight="1" x14ac:dyDescent="0.25">
      <c r="A789" s="151">
        <f>IF((A788+1)&lt;=Outline!$E$12,A788+1,0)</f>
        <v>7</v>
      </c>
    </row>
    <row r="790" spans="1:1" ht="20.100000000000001" hidden="1" customHeight="1" x14ac:dyDescent="0.25">
      <c r="A790" s="151">
        <f>IF((A789+1)&lt;=Outline!$E$12,A789+1,0)</f>
        <v>8</v>
      </c>
    </row>
    <row r="791" spans="1:1" ht="20.100000000000001" hidden="1" customHeight="1" x14ac:dyDescent="0.25">
      <c r="A791" s="151">
        <f>IF((A790+1)&lt;=Outline!$E$12,A790+1,0)</f>
        <v>9</v>
      </c>
    </row>
    <row r="792" spans="1:1" ht="20.100000000000001" hidden="1" customHeight="1" x14ac:dyDescent="0.25">
      <c r="A792" s="151">
        <f>IF((A791+1)&lt;=Outline!$E$12,A791+1,0)</f>
        <v>10</v>
      </c>
    </row>
    <row r="793" spans="1:1" ht="20.100000000000001" hidden="1" customHeight="1" x14ac:dyDescent="0.25">
      <c r="A793" s="151">
        <f>IF((A792+1)&lt;=Outline!$E$12,A792+1,0)</f>
        <v>11</v>
      </c>
    </row>
    <row r="794" spans="1:1" ht="20.100000000000001" hidden="1" customHeight="1" x14ac:dyDescent="0.25">
      <c r="A794" s="151">
        <f>IF((A793+1)&lt;=Outline!$E$12,A793+1,0)</f>
        <v>12</v>
      </c>
    </row>
    <row r="795" spans="1:1" ht="20.100000000000001" hidden="1" customHeight="1" x14ac:dyDescent="0.25">
      <c r="A795" s="151">
        <f>IF((A794+1)&lt;=Outline!$E$12,A794+1,0)</f>
        <v>13</v>
      </c>
    </row>
    <row r="796" spans="1:1" ht="20.100000000000001" hidden="1" customHeight="1" x14ac:dyDescent="0.25">
      <c r="A796" s="151">
        <f>IF((A795+1)&lt;=Outline!$E$12,A795+1,0)</f>
        <v>14</v>
      </c>
    </row>
    <row r="797" spans="1:1" ht="20.100000000000001" hidden="1" customHeight="1" x14ac:dyDescent="0.25">
      <c r="A797" s="151">
        <f>IF((A796+1)&lt;=Outline!$E$12,A796+1,0)</f>
        <v>15</v>
      </c>
    </row>
    <row r="798" spans="1:1" ht="20.100000000000001" hidden="1" customHeight="1" x14ac:dyDescent="0.25">
      <c r="A798" s="151">
        <f>IF((A797+1)&lt;=Outline!$E$12,A797+1,0)</f>
        <v>16</v>
      </c>
    </row>
    <row r="799" spans="1:1" ht="20.100000000000001" hidden="1" customHeight="1" x14ac:dyDescent="0.25">
      <c r="A799" s="151">
        <f>IF((A798+1)&lt;=Outline!$E$12,A798+1,0)</f>
        <v>17</v>
      </c>
    </row>
    <row r="800" spans="1:1" ht="20.100000000000001" hidden="1" customHeight="1" x14ac:dyDescent="0.25">
      <c r="A800" s="151">
        <f>IF((A799+1)&lt;=Outline!$E$12,A799+1,0)</f>
        <v>18</v>
      </c>
    </row>
    <row r="801" spans="1:1" ht="20.100000000000001" hidden="1" customHeight="1" x14ac:dyDescent="0.25">
      <c r="A801" s="151">
        <f>IF((A800+1)&lt;=Outline!$E$12,A800+1,0)</f>
        <v>19</v>
      </c>
    </row>
    <row r="802" spans="1:1" ht="20.100000000000001" hidden="1" customHeight="1" x14ac:dyDescent="0.25">
      <c r="A802" s="151">
        <f>IF((A801+1)&lt;=Outline!$E$12,A801+1,0)</f>
        <v>20</v>
      </c>
    </row>
    <row r="803" spans="1:1" ht="20.100000000000001" hidden="1" customHeight="1" x14ac:dyDescent="0.25">
      <c r="A803" s="151">
        <f>IF((A802+1)&lt;=Outline!$E$12,A802+1,0)</f>
        <v>21</v>
      </c>
    </row>
    <row r="804" spans="1:1" ht="20.100000000000001" hidden="1" customHeight="1" x14ac:dyDescent="0.25">
      <c r="A804" s="151">
        <f>IF((A803+1)&lt;=Outline!$E$12,A803+1,0)</f>
        <v>22</v>
      </c>
    </row>
    <row r="805" spans="1:1" ht="20.100000000000001" hidden="1" customHeight="1" x14ac:dyDescent="0.25">
      <c r="A805" s="151">
        <f>IF((A804+1)&lt;=Outline!$E$12,A804+1,0)</f>
        <v>23</v>
      </c>
    </row>
    <row r="806" spans="1:1" ht="20.100000000000001" hidden="1" customHeight="1" x14ac:dyDescent="0.25">
      <c r="A806" s="151">
        <f>IF((A805+1)&lt;=Outline!$E$12,A805+1,0)</f>
        <v>24</v>
      </c>
    </row>
    <row r="807" spans="1:1" ht="20.100000000000001" hidden="1" customHeight="1" x14ac:dyDescent="0.25">
      <c r="A807" s="151">
        <f>IF((A806+1)&lt;=Outline!$E$12,A806+1,0)</f>
        <v>25</v>
      </c>
    </row>
    <row r="808" spans="1:1" ht="20.100000000000001" hidden="1" customHeight="1" x14ac:dyDescent="0.25">
      <c r="A808" s="151">
        <f>IF((A807+1)&lt;=Outline!$E$12,A807+1,0)</f>
        <v>26</v>
      </c>
    </row>
    <row r="809" spans="1:1" ht="20.100000000000001" hidden="1" customHeight="1" x14ac:dyDescent="0.25">
      <c r="A809" s="151">
        <f>IF((A808+1)&lt;=Outline!$E$12,A808+1,0)</f>
        <v>27</v>
      </c>
    </row>
    <row r="810" spans="1:1" ht="20.100000000000001" hidden="1" customHeight="1" x14ac:dyDescent="0.25">
      <c r="A810" s="151">
        <f>IF((A809+1)&lt;=Outline!$E$12,A809+1,0)</f>
        <v>28</v>
      </c>
    </row>
    <row r="811" spans="1:1" ht="20.100000000000001" hidden="1" customHeight="1" x14ac:dyDescent="0.25">
      <c r="A811" s="151">
        <f>IF((A810+1)&lt;=Outline!$E$12,A810+1,0)</f>
        <v>29</v>
      </c>
    </row>
    <row r="812" spans="1:1" ht="20.100000000000001" hidden="1" customHeight="1" x14ac:dyDescent="0.25">
      <c r="A812" s="151">
        <f>IF((A811+1)&lt;=Outline!$E$12,A811+1,0)</f>
        <v>30</v>
      </c>
    </row>
    <row r="813" spans="1:1" ht="20.100000000000001" hidden="1" customHeight="1" x14ac:dyDescent="0.25">
      <c r="A813" s="151">
        <f>IF((A812+1)&lt;=Outline!$E$12,A812+1,0)</f>
        <v>31</v>
      </c>
    </row>
    <row r="814" spans="1:1" ht="20.100000000000001" hidden="1" customHeight="1" x14ac:dyDescent="0.25">
      <c r="A814" s="151">
        <f>IF((A813+1)&lt;=Outline!$E$12,A813+1,0)</f>
        <v>32</v>
      </c>
    </row>
    <row r="815" spans="1:1" ht="20.100000000000001" hidden="1" customHeight="1" x14ac:dyDescent="0.25">
      <c r="A815" s="151">
        <f>IF((A814+1)&lt;=Outline!$E$12,A814+1,0)</f>
        <v>33</v>
      </c>
    </row>
    <row r="816" spans="1:1" ht="20.100000000000001" hidden="1" customHeight="1" x14ac:dyDescent="0.25">
      <c r="A816" s="151">
        <f>IF((A815+1)&lt;=Outline!$E$12,A815+1,0)</f>
        <v>34</v>
      </c>
    </row>
    <row r="817" spans="1:1" ht="20.100000000000001" hidden="1" customHeight="1" x14ac:dyDescent="0.25">
      <c r="A817" s="151">
        <f>IF((A816+1)&lt;=Outline!$E$12,A816+1,0)</f>
        <v>35</v>
      </c>
    </row>
    <row r="818" spans="1:1" ht="20.100000000000001" hidden="1" customHeight="1" x14ac:dyDescent="0.25">
      <c r="A818" s="151">
        <f>IF((A817+1)&lt;=Outline!$E$12,A817+1,0)</f>
        <v>36</v>
      </c>
    </row>
    <row r="819" spans="1:1" ht="20.100000000000001" hidden="1" customHeight="1" x14ac:dyDescent="0.25">
      <c r="A819" s="151">
        <f>IF((A818+1)&lt;=Outline!$E$12,A818+1,0)</f>
        <v>37</v>
      </c>
    </row>
    <row r="820" spans="1:1" ht="20.100000000000001" hidden="1" customHeight="1" x14ac:dyDescent="0.25">
      <c r="A820" s="151">
        <f>IF((A819+1)&lt;=Outline!$E$12,A819+1,0)</f>
        <v>38</v>
      </c>
    </row>
    <row r="821" spans="1:1" ht="20.100000000000001" hidden="1" customHeight="1" x14ac:dyDescent="0.25">
      <c r="A821" s="151">
        <f>IF((A820+1)&lt;=Outline!$E$12,A820+1,0)</f>
        <v>39</v>
      </c>
    </row>
    <row r="822" spans="1:1" ht="20.100000000000001" hidden="1" customHeight="1" x14ac:dyDescent="0.25">
      <c r="A822" s="151">
        <f>IF((A821+1)&lt;=Outline!$E$12,A821+1,0)</f>
        <v>40</v>
      </c>
    </row>
    <row r="823" spans="1:1" ht="20.100000000000001" hidden="1" customHeight="1" x14ac:dyDescent="0.25">
      <c r="A823" s="151">
        <f>IF((A822+1)&lt;=Outline!$E$12,A822+1,0)</f>
        <v>41</v>
      </c>
    </row>
    <row r="824" spans="1:1" ht="20.100000000000001" hidden="1" customHeight="1" x14ac:dyDescent="0.25">
      <c r="A824" s="151">
        <f>IF((A823+1)&lt;=Outline!$E$12,A823+1,0)</f>
        <v>42</v>
      </c>
    </row>
    <row r="825" spans="1:1" ht="20.100000000000001" hidden="1" customHeight="1" x14ac:dyDescent="0.25">
      <c r="A825" s="151">
        <f>IF((A824+1)&lt;=Outline!$E$12,A824+1,0)</f>
        <v>0</v>
      </c>
    </row>
    <row r="826" spans="1:1" ht="20.100000000000001" hidden="1" customHeight="1" x14ac:dyDescent="0.25">
      <c r="A826" s="151">
        <f>IF((A825+1)&lt;=Outline!$E$12,A825+1,0)</f>
        <v>1</v>
      </c>
    </row>
    <row r="827" spans="1:1" ht="20.100000000000001" hidden="1" customHeight="1" x14ac:dyDescent="0.25">
      <c r="A827" s="151">
        <f>IF((A826+1)&lt;=Outline!$E$12,A826+1,0)</f>
        <v>2</v>
      </c>
    </row>
    <row r="828" spans="1:1" ht="20.100000000000001" hidden="1" customHeight="1" x14ac:dyDescent="0.25">
      <c r="A828" s="151">
        <f>IF((A827+1)&lt;=Outline!$E$12,A827+1,0)</f>
        <v>3</v>
      </c>
    </row>
    <row r="829" spans="1:1" ht="20.100000000000001" hidden="1" customHeight="1" x14ac:dyDescent="0.25">
      <c r="A829" s="151">
        <f>IF((A828+1)&lt;=Outline!$E$12,A828+1,0)</f>
        <v>4</v>
      </c>
    </row>
    <row r="830" spans="1:1" ht="20.100000000000001" hidden="1" customHeight="1" x14ac:dyDescent="0.25">
      <c r="A830" s="151">
        <f>IF((A829+1)&lt;=Outline!$E$12,A829+1,0)</f>
        <v>5</v>
      </c>
    </row>
    <row r="831" spans="1:1" ht="20.100000000000001" hidden="1" customHeight="1" x14ac:dyDescent="0.25">
      <c r="A831" s="151">
        <f>IF((A830+1)&lt;=Outline!$E$12,A830+1,0)</f>
        <v>6</v>
      </c>
    </row>
    <row r="832" spans="1:1" ht="20.100000000000001" hidden="1" customHeight="1" x14ac:dyDescent="0.25">
      <c r="A832" s="151">
        <f>IF((A831+1)&lt;=Outline!$E$12,A831+1,0)</f>
        <v>7</v>
      </c>
    </row>
    <row r="833" spans="1:1" ht="20.100000000000001" hidden="1" customHeight="1" x14ac:dyDescent="0.25">
      <c r="A833" s="151">
        <f>IF((A832+1)&lt;=Outline!$E$12,A832+1,0)</f>
        <v>8</v>
      </c>
    </row>
    <row r="834" spans="1:1" ht="20.100000000000001" hidden="1" customHeight="1" x14ac:dyDescent="0.25">
      <c r="A834" s="151">
        <f>IF((A833+1)&lt;=Outline!$E$12,A833+1,0)</f>
        <v>9</v>
      </c>
    </row>
    <row r="835" spans="1:1" ht="20.100000000000001" hidden="1" customHeight="1" x14ac:dyDescent="0.25">
      <c r="A835" s="151">
        <f>IF((A834+1)&lt;=Outline!$E$12,A834+1,0)</f>
        <v>10</v>
      </c>
    </row>
    <row r="836" spans="1:1" ht="20.100000000000001" hidden="1" customHeight="1" x14ac:dyDescent="0.25">
      <c r="A836" s="151">
        <f>IF((A835+1)&lt;=Outline!$E$12,A835+1,0)</f>
        <v>11</v>
      </c>
    </row>
    <row r="837" spans="1:1" ht="20.100000000000001" hidden="1" customHeight="1" x14ac:dyDescent="0.25">
      <c r="A837" s="151">
        <f>IF((A836+1)&lt;=Outline!$E$12,A836+1,0)</f>
        <v>12</v>
      </c>
    </row>
    <row r="838" spans="1:1" ht="20.100000000000001" hidden="1" customHeight="1" x14ac:dyDescent="0.25">
      <c r="A838" s="151">
        <f>IF((A837+1)&lt;=Outline!$E$12,A837+1,0)</f>
        <v>13</v>
      </c>
    </row>
    <row r="839" spans="1:1" ht="20.100000000000001" hidden="1" customHeight="1" x14ac:dyDescent="0.25">
      <c r="A839" s="151">
        <f>IF((A838+1)&lt;=Outline!$E$12,A838+1,0)</f>
        <v>14</v>
      </c>
    </row>
    <row r="840" spans="1:1" ht="20.100000000000001" hidden="1" customHeight="1" x14ac:dyDescent="0.25">
      <c r="A840" s="151">
        <f>IF((A839+1)&lt;=Outline!$E$12,A839+1,0)</f>
        <v>15</v>
      </c>
    </row>
    <row r="841" spans="1:1" ht="20.100000000000001" hidden="1" customHeight="1" x14ac:dyDescent="0.25">
      <c r="A841" s="151">
        <f>IF((A840+1)&lt;=Outline!$E$12,A840+1,0)</f>
        <v>16</v>
      </c>
    </row>
    <row r="842" spans="1:1" ht="20.100000000000001" hidden="1" customHeight="1" x14ac:dyDescent="0.25">
      <c r="A842" s="151">
        <f>IF((A841+1)&lt;=Outline!$E$12,A841+1,0)</f>
        <v>17</v>
      </c>
    </row>
    <row r="843" spans="1:1" ht="20.100000000000001" hidden="1" customHeight="1" x14ac:dyDescent="0.25">
      <c r="A843" s="151">
        <f>IF((A842+1)&lt;=Outline!$E$12,A842+1,0)</f>
        <v>18</v>
      </c>
    </row>
    <row r="844" spans="1:1" ht="20.100000000000001" hidden="1" customHeight="1" x14ac:dyDescent="0.25">
      <c r="A844" s="151">
        <f>IF((A843+1)&lt;=Outline!$E$12,A843+1,0)</f>
        <v>19</v>
      </c>
    </row>
    <row r="845" spans="1:1" ht="20.100000000000001" hidden="1" customHeight="1" x14ac:dyDescent="0.25">
      <c r="A845" s="151">
        <f>IF((A844+1)&lt;=Outline!$E$12,A844+1,0)</f>
        <v>20</v>
      </c>
    </row>
    <row r="846" spans="1:1" ht="20.100000000000001" hidden="1" customHeight="1" x14ac:dyDescent="0.25">
      <c r="A846" s="151">
        <f>IF((A845+1)&lt;=Outline!$E$12,A845+1,0)</f>
        <v>21</v>
      </c>
    </row>
    <row r="847" spans="1:1" ht="20.100000000000001" hidden="1" customHeight="1" x14ac:dyDescent="0.25">
      <c r="A847" s="151">
        <f>IF((A846+1)&lt;=Outline!$E$12,A846+1,0)</f>
        <v>22</v>
      </c>
    </row>
    <row r="848" spans="1:1" ht="20.100000000000001" hidden="1" customHeight="1" x14ac:dyDescent="0.25">
      <c r="A848" s="151">
        <f>IF((A847+1)&lt;=Outline!$E$12,A847+1,0)</f>
        <v>23</v>
      </c>
    </row>
    <row r="849" spans="1:1" ht="20.100000000000001" hidden="1" customHeight="1" x14ac:dyDescent="0.25">
      <c r="A849" s="151">
        <f>IF((A848+1)&lt;=Outline!$E$12,A848+1,0)</f>
        <v>24</v>
      </c>
    </row>
    <row r="850" spans="1:1" ht="20.100000000000001" hidden="1" customHeight="1" x14ac:dyDescent="0.25">
      <c r="A850" s="151">
        <f>IF((A849+1)&lt;=Outline!$E$12,A849+1,0)</f>
        <v>25</v>
      </c>
    </row>
    <row r="851" spans="1:1" ht="20.100000000000001" hidden="1" customHeight="1" x14ac:dyDescent="0.25">
      <c r="A851" s="151">
        <f>IF((A850+1)&lt;=Outline!$E$12,A850+1,0)</f>
        <v>26</v>
      </c>
    </row>
    <row r="852" spans="1:1" ht="20.100000000000001" hidden="1" customHeight="1" x14ac:dyDescent="0.25">
      <c r="A852" s="151">
        <f>IF((A851+1)&lt;=Outline!$E$12,A851+1,0)</f>
        <v>27</v>
      </c>
    </row>
    <row r="853" spans="1:1" ht="20.100000000000001" hidden="1" customHeight="1" x14ac:dyDescent="0.25">
      <c r="A853" s="151">
        <f>IF((A852+1)&lt;=Outline!$E$12,A852+1,0)</f>
        <v>28</v>
      </c>
    </row>
    <row r="854" spans="1:1" ht="20.100000000000001" hidden="1" customHeight="1" x14ac:dyDescent="0.25">
      <c r="A854" s="151">
        <f>IF((A853+1)&lt;=Outline!$E$12,A853+1,0)</f>
        <v>29</v>
      </c>
    </row>
    <row r="855" spans="1:1" ht="20.100000000000001" hidden="1" customHeight="1" x14ac:dyDescent="0.25">
      <c r="A855" s="151">
        <f>IF((A854+1)&lt;=Outline!$E$12,A854+1,0)</f>
        <v>30</v>
      </c>
    </row>
    <row r="856" spans="1:1" ht="20.100000000000001" hidden="1" customHeight="1" x14ac:dyDescent="0.25">
      <c r="A856" s="151">
        <f>IF((A855+1)&lt;=Outline!$E$12,A855+1,0)</f>
        <v>31</v>
      </c>
    </row>
    <row r="857" spans="1:1" ht="20.100000000000001" hidden="1" customHeight="1" x14ac:dyDescent="0.25">
      <c r="A857" s="151">
        <f>IF((A856+1)&lt;=Outline!$E$12,A856+1,0)</f>
        <v>32</v>
      </c>
    </row>
    <row r="858" spans="1:1" ht="20.100000000000001" hidden="1" customHeight="1" x14ac:dyDescent="0.25">
      <c r="A858" s="151">
        <f>IF((A857+1)&lt;=Outline!$E$12,A857+1,0)</f>
        <v>33</v>
      </c>
    </row>
    <row r="859" spans="1:1" ht="20.100000000000001" hidden="1" customHeight="1" x14ac:dyDescent="0.25">
      <c r="A859" s="151">
        <f>IF((A858+1)&lt;=Outline!$E$12,A858+1,0)</f>
        <v>34</v>
      </c>
    </row>
    <row r="860" spans="1:1" ht="20.100000000000001" hidden="1" customHeight="1" x14ac:dyDescent="0.25">
      <c r="A860" s="151">
        <f>IF((A859+1)&lt;=Outline!$E$12,A859+1,0)</f>
        <v>35</v>
      </c>
    </row>
    <row r="861" spans="1:1" ht="20.100000000000001" hidden="1" customHeight="1" x14ac:dyDescent="0.25">
      <c r="A861" s="151">
        <f>IF((A860+1)&lt;=Outline!$E$12,A860+1,0)</f>
        <v>36</v>
      </c>
    </row>
    <row r="862" spans="1:1" ht="20.100000000000001" hidden="1" customHeight="1" x14ac:dyDescent="0.25">
      <c r="A862" s="151">
        <f>IF((A861+1)&lt;=Outline!$E$12,A861+1,0)</f>
        <v>37</v>
      </c>
    </row>
    <row r="863" spans="1:1" ht="20.100000000000001" hidden="1" customHeight="1" x14ac:dyDescent="0.25">
      <c r="A863" s="151">
        <f>IF((A862+1)&lt;=Outline!$E$12,A862+1,0)</f>
        <v>38</v>
      </c>
    </row>
    <row r="864" spans="1:1" ht="20.100000000000001" hidden="1" customHeight="1" x14ac:dyDescent="0.25">
      <c r="A864" s="151">
        <f>IF((A863+1)&lt;=Outline!$E$12,A863+1,0)</f>
        <v>39</v>
      </c>
    </row>
    <row r="865" spans="1:1" ht="20.100000000000001" hidden="1" customHeight="1" x14ac:dyDescent="0.25">
      <c r="A865" s="151">
        <f>IF((A864+1)&lt;=Outline!$E$12,A864+1,0)</f>
        <v>40</v>
      </c>
    </row>
    <row r="866" spans="1:1" ht="20.100000000000001" hidden="1" customHeight="1" x14ac:dyDescent="0.25">
      <c r="A866" s="151">
        <f>IF((A865+1)&lt;=Outline!$E$12,A865+1,0)</f>
        <v>41</v>
      </c>
    </row>
    <row r="867" spans="1:1" ht="20.100000000000001" hidden="1" customHeight="1" x14ac:dyDescent="0.25">
      <c r="A867" s="151">
        <f>IF((A866+1)&lt;=Outline!$E$12,A866+1,0)</f>
        <v>42</v>
      </c>
    </row>
    <row r="868" spans="1:1" ht="20.100000000000001" hidden="1" customHeight="1" x14ac:dyDescent="0.25">
      <c r="A868" s="151">
        <f>IF((A867+1)&lt;=Outline!$E$12,A867+1,0)</f>
        <v>0</v>
      </c>
    </row>
    <row r="869" spans="1:1" ht="20.100000000000001" hidden="1" customHeight="1" x14ac:dyDescent="0.25">
      <c r="A869" s="151">
        <f>IF((A868+1)&lt;=Outline!$E$12,A868+1,0)</f>
        <v>1</v>
      </c>
    </row>
    <row r="870" spans="1:1" ht="20.100000000000001" hidden="1" customHeight="1" x14ac:dyDescent="0.25">
      <c r="A870" s="151">
        <f>IF((A869+1)&lt;=Outline!$E$12,A869+1,0)</f>
        <v>2</v>
      </c>
    </row>
    <row r="871" spans="1:1" ht="20.100000000000001" hidden="1" customHeight="1" x14ac:dyDescent="0.25">
      <c r="A871" s="151">
        <f>IF((A870+1)&lt;=Outline!$E$12,A870+1,0)</f>
        <v>3</v>
      </c>
    </row>
    <row r="872" spans="1:1" ht="20.100000000000001" hidden="1" customHeight="1" x14ac:dyDescent="0.25">
      <c r="A872" s="151">
        <f>IF((A871+1)&lt;=Outline!$E$12,A871+1,0)</f>
        <v>4</v>
      </c>
    </row>
    <row r="873" spans="1:1" ht="20.100000000000001" hidden="1" customHeight="1" x14ac:dyDescent="0.25">
      <c r="A873" s="151">
        <f>IF((A872+1)&lt;=Outline!$E$12,A872+1,0)</f>
        <v>5</v>
      </c>
    </row>
    <row r="874" spans="1:1" ht="20.100000000000001" hidden="1" customHeight="1" x14ac:dyDescent="0.25">
      <c r="A874" s="151">
        <f>IF((A873+1)&lt;=Outline!$E$12,A873+1,0)</f>
        <v>6</v>
      </c>
    </row>
    <row r="875" spans="1:1" ht="20.100000000000001" hidden="1" customHeight="1" x14ac:dyDescent="0.25">
      <c r="A875" s="151">
        <f>IF((A874+1)&lt;=Outline!$E$12,A874+1,0)</f>
        <v>7</v>
      </c>
    </row>
    <row r="876" spans="1:1" ht="20.100000000000001" hidden="1" customHeight="1" x14ac:dyDescent="0.25">
      <c r="A876" s="151">
        <f>IF((A875+1)&lt;=Outline!$E$12,A875+1,0)</f>
        <v>8</v>
      </c>
    </row>
    <row r="877" spans="1:1" ht="20.100000000000001" hidden="1" customHeight="1" x14ac:dyDescent="0.25">
      <c r="A877" s="151">
        <f>IF((A876+1)&lt;=Outline!$E$12,A876+1,0)</f>
        <v>9</v>
      </c>
    </row>
    <row r="878" spans="1:1" ht="20.100000000000001" hidden="1" customHeight="1" x14ac:dyDescent="0.25">
      <c r="A878" s="151">
        <f>IF((A877+1)&lt;=Outline!$E$12,A877+1,0)</f>
        <v>10</v>
      </c>
    </row>
    <row r="879" spans="1:1" ht="20.100000000000001" hidden="1" customHeight="1" x14ac:dyDescent="0.25">
      <c r="A879" s="151">
        <f>IF((A878+1)&lt;=Outline!$E$12,A878+1,0)</f>
        <v>11</v>
      </c>
    </row>
    <row r="880" spans="1:1" ht="20.100000000000001" hidden="1" customHeight="1" x14ac:dyDescent="0.25">
      <c r="A880" s="151">
        <f>IF((A879+1)&lt;=Outline!$E$12,A879+1,0)</f>
        <v>12</v>
      </c>
    </row>
    <row r="881" spans="1:1" ht="20.100000000000001" hidden="1" customHeight="1" x14ac:dyDescent="0.25">
      <c r="A881" s="151">
        <f>IF((A880+1)&lt;=Outline!$E$12,A880+1,0)</f>
        <v>13</v>
      </c>
    </row>
    <row r="882" spans="1:1" ht="20.100000000000001" hidden="1" customHeight="1" x14ac:dyDescent="0.25">
      <c r="A882" s="151">
        <f>IF((A881+1)&lt;=Outline!$E$12,A881+1,0)</f>
        <v>14</v>
      </c>
    </row>
    <row r="883" spans="1:1" ht="20.100000000000001" hidden="1" customHeight="1" x14ac:dyDescent="0.25">
      <c r="A883" s="151">
        <f>IF((A882+1)&lt;=Outline!$E$12,A882+1,0)</f>
        <v>15</v>
      </c>
    </row>
    <row r="884" spans="1:1" ht="20.100000000000001" hidden="1" customHeight="1" x14ac:dyDescent="0.25">
      <c r="A884" s="151">
        <f>IF((A883+1)&lt;=Outline!$E$12,A883+1,0)</f>
        <v>16</v>
      </c>
    </row>
    <row r="885" spans="1:1" ht="20.100000000000001" hidden="1" customHeight="1" x14ac:dyDescent="0.25">
      <c r="A885" s="151">
        <f>IF((A884+1)&lt;=Outline!$E$12,A884+1,0)</f>
        <v>17</v>
      </c>
    </row>
    <row r="886" spans="1:1" ht="20.100000000000001" hidden="1" customHeight="1" x14ac:dyDescent="0.25">
      <c r="A886" s="151">
        <f>IF((A885+1)&lt;=Outline!$E$12,A885+1,0)</f>
        <v>18</v>
      </c>
    </row>
    <row r="887" spans="1:1" ht="20.100000000000001" hidden="1" customHeight="1" x14ac:dyDescent="0.25">
      <c r="A887" s="151">
        <f>IF((A886+1)&lt;=Outline!$E$12,A886+1,0)</f>
        <v>19</v>
      </c>
    </row>
    <row r="888" spans="1:1" ht="20.100000000000001" hidden="1" customHeight="1" x14ac:dyDescent="0.25">
      <c r="A888" s="151">
        <f>IF((A887+1)&lt;=Outline!$E$12,A887+1,0)</f>
        <v>20</v>
      </c>
    </row>
    <row r="889" spans="1:1" ht="20.100000000000001" hidden="1" customHeight="1" x14ac:dyDescent="0.25">
      <c r="A889" s="151">
        <f>IF((A888+1)&lt;=Outline!$E$12,A888+1,0)</f>
        <v>21</v>
      </c>
    </row>
    <row r="890" spans="1:1" ht="20.100000000000001" hidden="1" customHeight="1" x14ac:dyDescent="0.25">
      <c r="A890" s="151">
        <f>IF((A889+1)&lt;=Outline!$E$12,A889+1,0)</f>
        <v>22</v>
      </c>
    </row>
    <row r="891" spans="1:1" ht="20.100000000000001" hidden="1" customHeight="1" x14ac:dyDescent="0.25">
      <c r="A891" s="151">
        <f>IF((A890+1)&lt;=Outline!$E$12,A890+1,0)</f>
        <v>23</v>
      </c>
    </row>
    <row r="892" spans="1:1" ht="20.100000000000001" hidden="1" customHeight="1" x14ac:dyDescent="0.25">
      <c r="A892" s="151">
        <f>IF((A891+1)&lt;=Outline!$E$12,A891+1,0)</f>
        <v>24</v>
      </c>
    </row>
    <row r="893" spans="1:1" ht="20.100000000000001" hidden="1" customHeight="1" x14ac:dyDescent="0.25">
      <c r="A893" s="151">
        <f>IF((A892+1)&lt;=Outline!$E$12,A892+1,0)</f>
        <v>25</v>
      </c>
    </row>
    <row r="894" spans="1:1" ht="20.100000000000001" hidden="1" customHeight="1" x14ac:dyDescent="0.25">
      <c r="A894" s="151">
        <f>IF((A893+1)&lt;=Outline!$E$12,A893+1,0)</f>
        <v>26</v>
      </c>
    </row>
    <row r="895" spans="1:1" ht="20.100000000000001" hidden="1" customHeight="1" x14ac:dyDescent="0.25">
      <c r="A895" s="151">
        <f>IF((A894+1)&lt;=Outline!$E$12,A894+1,0)</f>
        <v>27</v>
      </c>
    </row>
    <row r="896" spans="1:1" ht="20.100000000000001" hidden="1" customHeight="1" x14ac:dyDescent="0.25">
      <c r="A896" s="151">
        <f>IF((A895+1)&lt;=Outline!$E$12,A895+1,0)</f>
        <v>28</v>
      </c>
    </row>
    <row r="897" spans="1:1" ht="20.100000000000001" hidden="1" customHeight="1" x14ac:dyDescent="0.25">
      <c r="A897" s="151">
        <f>IF((A896+1)&lt;=Outline!$E$12,A896+1,0)</f>
        <v>29</v>
      </c>
    </row>
    <row r="898" spans="1:1" ht="20.100000000000001" hidden="1" customHeight="1" x14ac:dyDescent="0.25">
      <c r="A898" s="151">
        <f>IF((A897+1)&lt;=Outline!$E$12,A897+1,0)</f>
        <v>30</v>
      </c>
    </row>
    <row r="899" spans="1:1" ht="20.100000000000001" hidden="1" customHeight="1" x14ac:dyDescent="0.25">
      <c r="A899" s="151">
        <f>IF((A898+1)&lt;=Outline!$E$12,A898+1,0)</f>
        <v>31</v>
      </c>
    </row>
    <row r="900" spans="1:1" ht="20.100000000000001" hidden="1" customHeight="1" x14ac:dyDescent="0.25">
      <c r="A900" s="151">
        <f>IF((A899+1)&lt;=Outline!$E$12,A899+1,0)</f>
        <v>32</v>
      </c>
    </row>
    <row r="901" spans="1:1" ht="20.100000000000001" hidden="1" customHeight="1" x14ac:dyDescent="0.25">
      <c r="A901" s="151">
        <f>IF((A900+1)&lt;=Outline!$E$12,A900+1,0)</f>
        <v>33</v>
      </c>
    </row>
    <row r="902" spans="1:1" ht="20.100000000000001" hidden="1" customHeight="1" x14ac:dyDescent="0.25">
      <c r="A902" s="151">
        <f>IF((A901+1)&lt;=Outline!$E$12,A901+1,0)</f>
        <v>34</v>
      </c>
    </row>
    <row r="903" spans="1:1" ht="20.100000000000001" hidden="1" customHeight="1" x14ac:dyDescent="0.25">
      <c r="A903" s="151">
        <f>IF((A902+1)&lt;=Outline!$E$12,A902+1,0)</f>
        <v>35</v>
      </c>
    </row>
    <row r="904" spans="1:1" ht="20.100000000000001" hidden="1" customHeight="1" x14ac:dyDescent="0.25">
      <c r="A904" s="151">
        <f>IF((A903+1)&lt;=Outline!$E$12,A903+1,0)</f>
        <v>36</v>
      </c>
    </row>
    <row r="905" spans="1:1" ht="20.100000000000001" hidden="1" customHeight="1" x14ac:dyDescent="0.25">
      <c r="A905" s="151">
        <f>IF((A904+1)&lt;=Outline!$E$12,A904+1,0)</f>
        <v>37</v>
      </c>
    </row>
    <row r="906" spans="1:1" ht="20.100000000000001" hidden="1" customHeight="1" x14ac:dyDescent="0.25">
      <c r="A906" s="151">
        <f>IF((A905+1)&lt;=Outline!$E$12,A905+1,0)</f>
        <v>38</v>
      </c>
    </row>
    <row r="907" spans="1:1" ht="20.100000000000001" hidden="1" customHeight="1" x14ac:dyDescent="0.25">
      <c r="A907" s="151">
        <f>IF((A906+1)&lt;=Outline!$E$12,A906+1,0)</f>
        <v>39</v>
      </c>
    </row>
    <row r="908" spans="1:1" ht="20.100000000000001" hidden="1" customHeight="1" x14ac:dyDescent="0.25">
      <c r="A908" s="151">
        <f>IF((A907+1)&lt;=Outline!$E$12,A907+1,0)</f>
        <v>40</v>
      </c>
    </row>
    <row r="909" spans="1:1" ht="20.100000000000001" hidden="1" customHeight="1" x14ac:dyDescent="0.25">
      <c r="A909" s="151">
        <f>IF((A908+1)&lt;=Outline!$E$12,A908+1,0)</f>
        <v>41</v>
      </c>
    </row>
    <row r="910" spans="1:1" ht="20.100000000000001" hidden="1" customHeight="1" x14ac:dyDescent="0.25">
      <c r="A910" s="151">
        <f>IF((A909+1)&lt;=Outline!$E$12,A909+1,0)</f>
        <v>42</v>
      </c>
    </row>
    <row r="911" spans="1:1" ht="20.100000000000001" hidden="1" customHeight="1" x14ac:dyDescent="0.25">
      <c r="A911" s="151">
        <f>IF((A910+1)&lt;=Outline!$E$12,A910+1,0)</f>
        <v>0</v>
      </c>
    </row>
    <row r="912" spans="1:1" ht="20.100000000000001" hidden="1" customHeight="1" x14ac:dyDescent="0.25">
      <c r="A912" s="151">
        <f>IF((A911+1)&lt;=Outline!$E$12,A911+1,0)</f>
        <v>1</v>
      </c>
    </row>
    <row r="913" spans="1:1" ht="20.100000000000001" hidden="1" customHeight="1" x14ac:dyDescent="0.25">
      <c r="A913" s="151">
        <f>IF((A912+1)&lt;=Outline!$E$12,A912+1,0)</f>
        <v>2</v>
      </c>
    </row>
    <row r="914" spans="1:1" ht="20.100000000000001" hidden="1" customHeight="1" x14ac:dyDescent="0.25">
      <c r="A914" s="151">
        <f>IF((A913+1)&lt;=Outline!$E$12,A913+1,0)</f>
        <v>3</v>
      </c>
    </row>
    <row r="915" spans="1:1" ht="20.100000000000001" hidden="1" customHeight="1" x14ac:dyDescent="0.25">
      <c r="A915" s="151">
        <f>IF((A914+1)&lt;=Outline!$E$12,A914+1,0)</f>
        <v>4</v>
      </c>
    </row>
    <row r="916" spans="1:1" ht="20.100000000000001" hidden="1" customHeight="1" x14ac:dyDescent="0.25">
      <c r="A916" s="151">
        <f>IF((A915+1)&lt;=Outline!$E$12,A915+1,0)</f>
        <v>5</v>
      </c>
    </row>
    <row r="917" spans="1:1" ht="20.100000000000001" hidden="1" customHeight="1" x14ac:dyDescent="0.25">
      <c r="A917" s="151">
        <f>IF((A916+1)&lt;=Outline!$E$12,A916+1,0)</f>
        <v>6</v>
      </c>
    </row>
    <row r="918" spans="1:1" ht="20.100000000000001" hidden="1" customHeight="1" x14ac:dyDescent="0.25">
      <c r="A918" s="151">
        <f>IF((A917+1)&lt;=Outline!$E$12,A917+1,0)</f>
        <v>7</v>
      </c>
    </row>
    <row r="919" spans="1:1" ht="20.100000000000001" hidden="1" customHeight="1" x14ac:dyDescent="0.25">
      <c r="A919" s="151">
        <f>IF((A918+1)&lt;=Outline!$E$12,A918+1,0)</f>
        <v>8</v>
      </c>
    </row>
    <row r="920" spans="1:1" ht="20.100000000000001" hidden="1" customHeight="1" x14ac:dyDescent="0.25">
      <c r="A920" s="151">
        <f>IF((A919+1)&lt;=Outline!$E$12,A919+1,0)</f>
        <v>9</v>
      </c>
    </row>
    <row r="921" spans="1:1" ht="20.100000000000001" hidden="1" customHeight="1" x14ac:dyDescent="0.25">
      <c r="A921" s="151">
        <f>IF((A920+1)&lt;=Outline!$E$12,A920+1,0)</f>
        <v>10</v>
      </c>
    </row>
    <row r="922" spans="1:1" ht="20.100000000000001" hidden="1" customHeight="1" x14ac:dyDescent="0.25">
      <c r="A922" s="151">
        <f>IF((A921+1)&lt;=Outline!$E$12,A921+1,0)</f>
        <v>11</v>
      </c>
    </row>
    <row r="923" spans="1:1" ht="20.100000000000001" hidden="1" customHeight="1" x14ac:dyDescent="0.25">
      <c r="A923" s="151">
        <f>IF((A922+1)&lt;=Outline!$E$12,A922+1,0)</f>
        <v>12</v>
      </c>
    </row>
    <row r="924" spans="1:1" ht="20.100000000000001" hidden="1" customHeight="1" x14ac:dyDescent="0.25">
      <c r="A924" s="151">
        <f>IF((A923+1)&lt;=Outline!$E$12,A923+1,0)</f>
        <v>13</v>
      </c>
    </row>
    <row r="925" spans="1:1" ht="20.100000000000001" hidden="1" customHeight="1" x14ac:dyDescent="0.25">
      <c r="A925" s="151">
        <f>IF((A924+1)&lt;=Outline!$E$12,A924+1,0)</f>
        <v>14</v>
      </c>
    </row>
    <row r="926" spans="1:1" ht="20.100000000000001" hidden="1" customHeight="1" x14ac:dyDescent="0.25">
      <c r="A926" s="151">
        <f>IF((A925+1)&lt;=Outline!$E$12,A925+1,0)</f>
        <v>15</v>
      </c>
    </row>
    <row r="927" spans="1:1" ht="20.100000000000001" hidden="1" customHeight="1" x14ac:dyDescent="0.25">
      <c r="A927" s="151">
        <f>IF((A926+1)&lt;=Outline!$E$12,A926+1,0)</f>
        <v>16</v>
      </c>
    </row>
    <row r="928" spans="1:1" ht="20.100000000000001" hidden="1" customHeight="1" x14ac:dyDescent="0.25">
      <c r="A928" s="151">
        <f>IF((A927+1)&lt;=Outline!$E$12,A927+1,0)</f>
        <v>17</v>
      </c>
    </row>
    <row r="929" spans="1:1" ht="20.100000000000001" hidden="1" customHeight="1" x14ac:dyDescent="0.25">
      <c r="A929" s="151">
        <f>IF((A928+1)&lt;=Outline!$E$12,A928+1,0)</f>
        <v>18</v>
      </c>
    </row>
    <row r="930" spans="1:1" ht="20.100000000000001" hidden="1" customHeight="1" x14ac:dyDescent="0.25">
      <c r="A930" s="151">
        <f>IF((A929+1)&lt;=Outline!$E$12,A929+1,0)</f>
        <v>19</v>
      </c>
    </row>
    <row r="931" spans="1:1" ht="20.100000000000001" hidden="1" customHeight="1" x14ac:dyDescent="0.25">
      <c r="A931" s="151">
        <f>IF((A930+1)&lt;=Outline!$E$12,A930+1,0)</f>
        <v>20</v>
      </c>
    </row>
    <row r="932" spans="1:1" ht="20.100000000000001" hidden="1" customHeight="1" x14ac:dyDescent="0.25">
      <c r="A932" s="151">
        <f>IF((A931+1)&lt;=Outline!$E$12,A931+1,0)</f>
        <v>21</v>
      </c>
    </row>
    <row r="933" spans="1:1" ht="20.100000000000001" hidden="1" customHeight="1" x14ac:dyDescent="0.25">
      <c r="A933" s="151">
        <f>IF((A932+1)&lt;=Outline!$E$12,A932+1,0)</f>
        <v>22</v>
      </c>
    </row>
    <row r="934" spans="1:1" ht="20.100000000000001" hidden="1" customHeight="1" x14ac:dyDescent="0.25">
      <c r="A934" s="151">
        <f>IF((A933+1)&lt;=Outline!$E$12,A933+1,0)</f>
        <v>23</v>
      </c>
    </row>
    <row r="935" spans="1:1" ht="20.100000000000001" hidden="1" customHeight="1" x14ac:dyDescent="0.25">
      <c r="A935" s="151">
        <f>IF((A934+1)&lt;=Outline!$E$12,A934+1,0)</f>
        <v>24</v>
      </c>
    </row>
    <row r="936" spans="1:1" ht="20.100000000000001" hidden="1" customHeight="1" x14ac:dyDescent="0.25">
      <c r="A936" s="151">
        <f>IF((A935+1)&lt;=Outline!$E$12,A935+1,0)</f>
        <v>25</v>
      </c>
    </row>
    <row r="937" spans="1:1" ht="20.100000000000001" hidden="1" customHeight="1" x14ac:dyDescent="0.25">
      <c r="A937" s="151">
        <f>IF((A936+1)&lt;=Outline!$E$12,A936+1,0)</f>
        <v>26</v>
      </c>
    </row>
    <row r="938" spans="1:1" ht="20.100000000000001" hidden="1" customHeight="1" x14ac:dyDescent="0.25">
      <c r="A938" s="151">
        <f>IF((A937+1)&lt;=Outline!$E$12,A937+1,0)</f>
        <v>27</v>
      </c>
    </row>
    <row r="939" spans="1:1" ht="20.100000000000001" hidden="1" customHeight="1" x14ac:dyDescent="0.25">
      <c r="A939" s="151">
        <f>IF((A938+1)&lt;=Outline!$E$12,A938+1,0)</f>
        <v>28</v>
      </c>
    </row>
    <row r="940" spans="1:1" ht="20.100000000000001" hidden="1" customHeight="1" x14ac:dyDescent="0.25">
      <c r="A940" s="151">
        <f>IF((A939+1)&lt;=Outline!$E$12,A939+1,0)</f>
        <v>29</v>
      </c>
    </row>
    <row r="941" spans="1:1" ht="20.100000000000001" hidden="1" customHeight="1" x14ac:dyDescent="0.25">
      <c r="A941" s="151">
        <f>IF((A940+1)&lt;=Outline!$E$12,A940+1,0)</f>
        <v>30</v>
      </c>
    </row>
    <row r="942" spans="1:1" ht="20.100000000000001" hidden="1" customHeight="1" x14ac:dyDescent="0.25">
      <c r="A942" s="151">
        <f>IF((A941+1)&lt;=Outline!$E$12,A941+1,0)</f>
        <v>31</v>
      </c>
    </row>
    <row r="943" spans="1:1" ht="20.100000000000001" hidden="1" customHeight="1" x14ac:dyDescent="0.25">
      <c r="A943" s="151">
        <f>IF((A942+1)&lt;=Outline!$E$12,A942+1,0)</f>
        <v>32</v>
      </c>
    </row>
    <row r="944" spans="1:1" ht="20.100000000000001" hidden="1" customHeight="1" x14ac:dyDescent="0.25">
      <c r="A944" s="151">
        <f>IF((A943+1)&lt;=Outline!$E$12,A943+1,0)</f>
        <v>33</v>
      </c>
    </row>
    <row r="945" spans="1:1" ht="20.100000000000001" hidden="1" customHeight="1" x14ac:dyDescent="0.25">
      <c r="A945" s="151">
        <f>IF((A944+1)&lt;=Outline!$E$12,A944+1,0)</f>
        <v>34</v>
      </c>
    </row>
    <row r="946" spans="1:1" ht="20.100000000000001" hidden="1" customHeight="1" x14ac:dyDescent="0.25">
      <c r="A946" s="151">
        <f>IF((A945+1)&lt;=Outline!$E$12,A945+1,0)</f>
        <v>35</v>
      </c>
    </row>
    <row r="947" spans="1:1" ht="20.100000000000001" hidden="1" customHeight="1" x14ac:dyDescent="0.25">
      <c r="A947" s="151">
        <f>IF((A946+1)&lt;=Outline!$E$12,A946+1,0)</f>
        <v>36</v>
      </c>
    </row>
    <row r="948" spans="1:1" ht="20.100000000000001" hidden="1" customHeight="1" x14ac:dyDescent="0.25">
      <c r="A948" s="151">
        <f>IF((A947+1)&lt;=Outline!$E$12,A947+1,0)</f>
        <v>37</v>
      </c>
    </row>
    <row r="949" spans="1:1" ht="20.100000000000001" hidden="1" customHeight="1" x14ac:dyDescent="0.25">
      <c r="A949" s="151">
        <f>IF((A948+1)&lt;=Outline!$E$12,A948+1,0)</f>
        <v>38</v>
      </c>
    </row>
    <row r="950" spans="1:1" ht="20.100000000000001" hidden="1" customHeight="1" x14ac:dyDescent="0.25">
      <c r="A950" s="151">
        <f>IF((A949+1)&lt;=Outline!$E$12,A949+1,0)</f>
        <v>39</v>
      </c>
    </row>
    <row r="951" spans="1:1" ht="20.100000000000001" hidden="1" customHeight="1" x14ac:dyDescent="0.25">
      <c r="A951" s="151">
        <f>IF((A950+1)&lt;=Outline!$E$12,A950+1,0)</f>
        <v>40</v>
      </c>
    </row>
    <row r="952" spans="1:1" ht="20.100000000000001" hidden="1" customHeight="1" x14ac:dyDescent="0.25">
      <c r="A952" s="151">
        <f>IF((A951+1)&lt;=Outline!$E$12,A951+1,0)</f>
        <v>41</v>
      </c>
    </row>
    <row r="953" spans="1:1" ht="20.100000000000001" hidden="1" customHeight="1" x14ac:dyDescent="0.25">
      <c r="A953" s="151">
        <f>IF((A952+1)&lt;=Outline!$E$12,A952+1,0)</f>
        <v>42</v>
      </c>
    </row>
    <row r="954" spans="1:1" ht="20.100000000000001" hidden="1" customHeight="1" x14ac:dyDescent="0.25">
      <c r="A954" s="151">
        <f>IF((A953+1)&lt;=Outline!$E$12,A953+1,0)</f>
        <v>0</v>
      </c>
    </row>
    <row r="955" spans="1:1" ht="20.100000000000001" hidden="1" customHeight="1" x14ac:dyDescent="0.25">
      <c r="A955" s="151">
        <f>IF((A954+1)&lt;=Outline!$E$12,A954+1,0)</f>
        <v>1</v>
      </c>
    </row>
    <row r="956" spans="1:1" ht="20.100000000000001" hidden="1" customHeight="1" x14ac:dyDescent="0.25">
      <c r="A956" s="151">
        <f>IF((A955+1)&lt;=Outline!$E$12,A955+1,0)</f>
        <v>2</v>
      </c>
    </row>
    <row r="957" spans="1:1" ht="20.100000000000001" hidden="1" customHeight="1" x14ac:dyDescent="0.25">
      <c r="A957" s="151">
        <f>IF((A956+1)&lt;=Outline!$E$12,A956+1,0)</f>
        <v>3</v>
      </c>
    </row>
    <row r="958" spans="1:1" ht="20.100000000000001" hidden="1" customHeight="1" x14ac:dyDescent="0.25">
      <c r="A958" s="151">
        <f>IF((A957+1)&lt;=Outline!$E$12,A957+1,0)</f>
        <v>4</v>
      </c>
    </row>
    <row r="959" spans="1:1" ht="20.100000000000001" hidden="1" customHeight="1" x14ac:dyDescent="0.25">
      <c r="A959" s="151">
        <f>IF((A958+1)&lt;=Outline!$E$12,A958+1,0)</f>
        <v>5</v>
      </c>
    </row>
    <row r="960" spans="1:1" ht="20.100000000000001" hidden="1" customHeight="1" x14ac:dyDescent="0.25">
      <c r="A960" s="151">
        <f>IF((A959+1)&lt;=Outline!$E$12,A959+1,0)</f>
        <v>6</v>
      </c>
    </row>
    <row r="961" spans="1:1" ht="20.100000000000001" hidden="1" customHeight="1" x14ac:dyDescent="0.25">
      <c r="A961" s="151">
        <f>IF((A960+1)&lt;=Outline!$E$12,A960+1,0)</f>
        <v>7</v>
      </c>
    </row>
    <row r="962" spans="1:1" ht="20.100000000000001" hidden="1" customHeight="1" x14ac:dyDescent="0.25">
      <c r="A962" s="151">
        <f>IF((A961+1)&lt;=Outline!$E$12,A961+1,0)</f>
        <v>8</v>
      </c>
    </row>
    <row r="963" spans="1:1" ht="20.100000000000001" hidden="1" customHeight="1" x14ac:dyDescent="0.25">
      <c r="A963" s="151">
        <f>IF((A962+1)&lt;=Outline!$E$12,A962+1,0)</f>
        <v>9</v>
      </c>
    </row>
    <row r="964" spans="1:1" ht="20.100000000000001" hidden="1" customHeight="1" x14ac:dyDescent="0.25">
      <c r="A964" s="151">
        <f>IF((A963+1)&lt;=Outline!$E$12,A963+1,0)</f>
        <v>10</v>
      </c>
    </row>
    <row r="965" spans="1:1" ht="20.100000000000001" hidden="1" customHeight="1" x14ac:dyDescent="0.25">
      <c r="A965" s="151">
        <f>IF((A964+1)&lt;=Outline!$E$12,A964+1,0)</f>
        <v>11</v>
      </c>
    </row>
    <row r="966" spans="1:1" ht="20.100000000000001" hidden="1" customHeight="1" x14ac:dyDescent="0.25">
      <c r="A966" s="151">
        <f>IF((A965+1)&lt;=Outline!$E$12,A965+1,0)</f>
        <v>12</v>
      </c>
    </row>
    <row r="967" spans="1:1" ht="20.100000000000001" hidden="1" customHeight="1" x14ac:dyDescent="0.25">
      <c r="A967" s="151">
        <f>IF((A966+1)&lt;=Outline!$E$12,A966+1,0)</f>
        <v>13</v>
      </c>
    </row>
    <row r="968" spans="1:1" ht="20.100000000000001" hidden="1" customHeight="1" x14ac:dyDescent="0.25">
      <c r="A968" s="151">
        <f>IF((A967+1)&lt;=Outline!$E$12,A967+1,0)</f>
        <v>14</v>
      </c>
    </row>
    <row r="969" spans="1:1" ht="20.100000000000001" hidden="1" customHeight="1" x14ac:dyDescent="0.25">
      <c r="A969" s="151">
        <f>IF((A968+1)&lt;=Outline!$E$12,A968+1,0)</f>
        <v>15</v>
      </c>
    </row>
    <row r="970" spans="1:1" ht="20.100000000000001" hidden="1" customHeight="1" x14ac:dyDescent="0.25">
      <c r="A970" s="151">
        <f>IF((A969+1)&lt;=Outline!$E$12,A969+1,0)</f>
        <v>16</v>
      </c>
    </row>
    <row r="971" spans="1:1" ht="20.100000000000001" hidden="1" customHeight="1" x14ac:dyDescent="0.25">
      <c r="A971" s="151">
        <f>IF((A970+1)&lt;=Outline!$E$12,A970+1,0)</f>
        <v>17</v>
      </c>
    </row>
    <row r="972" spans="1:1" ht="20.100000000000001" hidden="1" customHeight="1" x14ac:dyDescent="0.25">
      <c r="A972" s="151">
        <f>IF((A971+1)&lt;=Outline!$E$12,A971+1,0)</f>
        <v>18</v>
      </c>
    </row>
    <row r="973" spans="1:1" ht="20.100000000000001" hidden="1" customHeight="1" x14ac:dyDescent="0.25">
      <c r="A973" s="151">
        <f>IF((A972+1)&lt;=Outline!$E$12,A972+1,0)</f>
        <v>19</v>
      </c>
    </row>
    <row r="974" spans="1:1" ht="20.100000000000001" hidden="1" customHeight="1" x14ac:dyDescent="0.25">
      <c r="A974" s="151">
        <f>IF((A973+1)&lt;=Outline!$E$12,A973+1,0)</f>
        <v>20</v>
      </c>
    </row>
    <row r="975" spans="1:1" ht="20.100000000000001" hidden="1" customHeight="1" x14ac:dyDescent="0.25">
      <c r="A975" s="151">
        <f>IF((A974+1)&lt;=Outline!$E$12,A974+1,0)</f>
        <v>21</v>
      </c>
    </row>
    <row r="976" spans="1:1" ht="20.100000000000001" hidden="1" customHeight="1" x14ac:dyDescent="0.25">
      <c r="A976" s="151">
        <f>IF((A975+1)&lt;=Outline!$E$12,A975+1,0)</f>
        <v>22</v>
      </c>
    </row>
    <row r="977" spans="1:1" ht="20.100000000000001" hidden="1" customHeight="1" x14ac:dyDescent="0.25">
      <c r="A977" s="151">
        <f>IF((A976+1)&lt;=Outline!$E$12,A976+1,0)</f>
        <v>23</v>
      </c>
    </row>
    <row r="978" spans="1:1" ht="20.100000000000001" hidden="1" customHeight="1" x14ac:dyDescent="0.25">
      <c r="A978" s="151">
        <f>IF((A977+1)&lt;=Outline!$E$12,A977+1,0)</f>
        <v>24</v>
      </c>
    </row>
    <row r="979" spans="1:1" ht="20.100000000000001" hidden="1" customHeight="1" x14ac:dyDescent="0.25">
      <c r="A979" s="151">
        <f>IF((A978+1)&lt;=Outline!$E$12,A978+1,0)</f>
        <v>25</v>
      </c>
    </row>
    <row r="980" spans="1:1" ht="20.100000000000001" hidden="1" customHeight="1" x14ac:dyDescent="0.25">
      <c r="A980" s="151">
        <f>IF((A979+1)&lt;=Outline!$E$12,A979+1,0)</f>
        <v>26</v>
      </c>
    </row>
    <row r="981" spans="1:1" ht="20.100000000000001" hidden="1" customHeight="1" x14ac:dyDescent="0.25">
      <c r="A981" s="151">
        <f>IF((A980+1)&lt;=Outline!$E$12,A980+1,0)</f>
        <v>27</v>
      </c>
    </row>
    <row r="982" spans="1:1" ht="20.100000000000001" hidden="1" customHeight="1" x14ac:dyDescent="0.25">
      <c r="A982" s="151">
        <f>IF((A981+1)&lt;=Outline!$E$12,A981+1,0)</f>
        <v>28</v>
      </c>
    </row>
    <row r="983" spans="1:1" ht="20.100000000000001" hidden="1" customHeight="1" x14ac:dyDescent="0.25">
      <c r="A983" s="151">
        <f>IF((A982+1)&lt;=Outline!$E$12,A982+1,0)</f>
        <v>29</v>
      </c>
    </row>
    <row r="984" spans="1:1" ht="20.100000000000001" hidden="1" customHeight="1" x14ac:dyDescent="0.25">
      <c r="A984" s="151">
        <f>IF((A983+1)&lt;=Outline!$E$12,A983+1,0)</f>
        <v>30</v>
      </c>
    </row>
    <row r="985" spans="1:1" ht="20.100000000000001" hidden="1" customHeight="1" x14ac:dyDescent="0.25">
      <c r="A985" s="151">
        <f>IF((A984+1)&lt;=Outline!$E$12,A984+1,0)</f>
        <v>31</v>
      </c>
    </row>
    <row r="986" spans="1:1" ht="20.100000000000001" hidden="1" customHeight="1" x14ac:dyDescent="0.25">
      <c r="A986" s="151">
        <f>IF((A985+1)&lt;=Outline!$E$12,A985+1,0)</f>
        <v>32</v>
      </c>
    </row>
    <row r="987" spans="1:1" ht="20.100000000000001" hidden="1" customHeight="1" x14ac:dyDescent="0.25">
      <c r="A987" s="151">
        <f>IF((A986+1)&lt;=Outline!$E$12,A986+1,0)</f>
        <v>33</v>
      </c>
    </row>
    <row r="988" spans="1:1" ht="20.100000000000001" hidden="1" customHeight="1" x14ac:dyDescent="0.25">
      <c r="A988" s="151">
        <f>IF((A987+1)&lt;=Outline!$E$12,A987+1,0)</f>
        <v>34</v>
      </c>
    </row>
    <row r="989" spans="1:1" ht="20.100000000000001" hidden="1" customHeight="1" x14ac:dyDescent="0.25">
      <c r="A989" s="151">
        <f>IF((A988+1)&lt;=Outline!$E$12,A988+1,0)</f>
        <v>35</v>
      </c>
    </row>
    <row r="990" spans="1:1" ht="20.100000000000001" hidden="1" customHeight="1" x14ac:dyDescent="0.25">
      <c r="A990" s="151">
        <f>IF((A989+1)&lt;=Outline!$E$12,A989+1,0)</f>
        <v>36</v>
      </c>
    </row>
    <row r="991" spans="1:1" ht="20.100000000000001" hidden="1" customHeight="1" x14ac:dyDescent="0.25">
      <c r="A991" s="151">
        <f>IF((A990+1)&lt;=Outline!$E$12,A990+1,0)</f>
        <v>37</v>
      </c>
    </row>
    <row r="992" spans="1:1" ht="20.100000000000001" hidden="1" customHeight="1" x14ac:dyDescent="0.25">
      <c r="A992" s="151">
        <f>IF((A991+1)&lt;=Outline!$E$12,A991+1,0)</f>
        <v>38</v>
      </c>
    </row>
    <row r="993" spans="1:1" ht="20.100000000000001" hidden="1" customHeight="1" x14ac:dyDescent="0.25">
      <c r="A993" s="151">
        <f>IF((A992+1)&lt;=Outline!$E$12,A992+1,0)</f>
        <v>39</v>
      </c>
    </row>
    <row r="994" spans="1:1" ht="20.100000000000001" hidden="1" customHeight="1" x14ac:dyDescent="0.25">
      <c r="A994" s="151">
        <f>IF((A993+1)&lt;=Outline!$E$12,A993+1,0)</f>
        <v>40</v>
      </c>
    </row>
    <row r="995" spans="1:1" ht="20.100000000000001" hidden="1" customHeight="1" x14ac:dyDescent="0.25">
      <c r="A995" s="151">
        <f>IF((A994+1)&lt;=Outline!$E$12,A994+1,0)</f>
        <v>41</v>
      </c>
    </row>
    <row r="996" spans="1:1" ht="20.100000000000001" hidden="1" customHeight="1" x14ac:dyDescent="0.25">
      <c r="A996" s="151">
        <f>IF((A995+1)&lt;=Outline!$E$12,A995+1,0)</f>
        <v>42</v>
      </c>
    </row>
    <row r="997" spans="1:1" ht="20.100000000000001" hidden="1" customHeight="1" x14ac:dyDescent="0.25">
      <c r="A997" s="151">
        <f>IF((A996+1)&lt;=Outline!$E$12,A996+1,0)</f>
        <v>0</v>
      </c>
    </row>
    <row r="998" spans="1:1" ht="20.100000000000001" hidden="1" customHeight="1" x14ac:dyDescent="0.25">
      <c r="A998" s="151">
        <f>IF((A997+1)&lt;=Outline!$E$12,A997+1,0)</f>
        <v>1</v>
      </c>
    </row>
    <row r="999" spans="1:1" ht="20.100000000000001" hidden="1" customHeight="1" x14ac:dyDescent="0.25">
      <c r="A999" s="151">
        <f>IF((A998+1)&lt;=Outline!$E$12,A998+1,0)</f>
        <v>2</v>
      </c>
    </row>
    <row r="1000" spans="1:1" ht="20.100000000000001" hidden="1" customHeight="1" x14ac:dyDescent="0.25">
      <c r="A1000" s="151">
        <f>IF((A999+1)&lt;=Outline!$E$12,A999+1,0)</f>
        <v>3</v>
      </c>
    </row>
    <row r="1001" spans="1:1" x14ac:dyDescent="0.25">
      <c r="A1001" s="151">
        <f>IF((A1000+1)&lt;=Outline!$E$12,A1000+1,0)</f>
        <v>4</v>
      </c>
    </row>
  </sheetData>
  <autoFilter ref="A4:BA118" xr:uid="{2CDB739F-4F80-4E03-B02B-77EC2CB65EA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</autoFilter>
  <mergeCells count="44">
    <mergeCell ref="A1:BA1"/>
    <mergeCell ref="A2:B2"/>
    <mergeCell ref="M5:U5"/>
    <mergeCell ref="U6:U7"/>
    <mergeCell ref="V5:AD5"/>
    <mergeCell ref="AD6:AD7"/>
    <mergeCell ref="A4:A8"/>
    <mergeCell ref="C4:C8"/>
    <mergeCell ref="B4:B8"/>
    <mergeCell ref="AS4:AY4"/>
    <mergeCell ref="J6:K6"/>
    <mergeCell ref="M6:N6"/>
    <mergeCell ref="O6:P6"/>
    <mergeCell ref="Q6:R6"/>
    <mergeCell ref="BA4:BA7"/>
    <mergeCell ref="L6:L7"/>
    <mergeCell ref="D5:L5"/>
    <mergeCell ref="D4:U4"/>
    <mergeCell ref="D6:E6"/>
    <mergeCell ref="F6:G6"/>
    <mergeCell ref="H6:I6"/>
    <mergeCell ref="AE4:AK4"/>
    <mergeCell ref="AZ4:AZ7"/>
    <mergeCell ref="S6:T6"/>
    <mergeCell ref="V6:W6"/>
    <mergeCell ref="X6:Y6"/>
    <mergeCell ref="Z6:AA6"/>
    <mergeCell ref="AB6:AC6"/>
    <mergeCell ref="AW6:AX6"/>
    <mergeCell ref="AW5:AX5"/>
    <mergeCell ref="AE5:AF6"/>
    <mergeCell ref="AG5:AH6"/>
    <mergeCell ref="AI5:AJ6"/>
    <mergeCell ref="AL4:AR4"/>
    <mergeCell ref="V4:AD4"/>
    <mergeCell ref="AS6:AT6"/>
    <mergeCell ref="AS5:AT5"/>
    <mergeCell ref="AU6:AV6"/>
    <mergeCell ref="AU5:AV5"/>
    <mergeCell ref="AK5:AK6"/>
    <mergeCell ref="AL5:AM6"/>
    <mergeCell ref="AN5:AO6"/>
    <mergeCell ref="AP5:AQ6"/>
    <mergeCell ref="AR5:AR6"/>
  </mergeCells>
  <phoneticPr fontId="57" type="noConversion"/>
  <conditionalFormatting sqref="E9 E11:E118">
    <cfRule type="cellIs" dxfId="161" priority="229" operator="lessThan">
      <formula>0.5</formula>
    </cfRule>
    <cfRule type="cellIs" dxfId="160" priority="230" operator="greaterThanOrEqual">
      <formula>0.5</formula>
    </cfRule>
  </conditionalFormatting>
  <conditionalFormatting sqref="E9 E11:E118">
    <cfRule type="cellIs" dxfId="159" priority="227" operator="equal">
      <formula>"NA"</formula>
    </cfRule>
  </conditionalFormatting>
  <conditionalFormatting sqref="G9 G11:G118">
    <cfRule type="cellIs" dxfId="158" priority="224" operator="equal">
      <formula>"NA"</formula>
    </cfRule>
    <cfRule type="cellIs" dxfId="157" priority="225" operator="lessThan">
      <formula>0.5</formula>
    </cfRule>
    <cfRule type="cellIs" dxfId="156" priority="226" operator="greaterThanOrEqual">
      <formula>0.5</formula>
    </cfRule>
  </conditionalFormatting>
  <conditionalFormatting sqref="I9 I11:I118">
    <cfRule type="cellIs" dxfId="155" priority="221" operator="equal">
      <formula>"NA"</formula>
    </cfRule>
    <cfRule type="cellIs" dxfId="154" priority="222" operator="lessThan">
      <formula>0.5</formula>
    </cfRule>
    <cfRule type="cellIs" dxfId="153" priority="223" operator="greaterThanOrEqual">
      <formula>0.5</formula>
    </cfRule>
  </conditionalFormatting>
  <conditionalFormatting sqref="K9:K118">
    <cfRule type="cellIs" dxfId="152" priority="218" operator="equal">
      <formula>"NA"</formula>
    </cfRule>
    <cfRule type="cellIs" dxfId="151" priority="219" operator="lessThan">
      <formula>0.5</formula>
    </cfRule>
    <cfRule type="cellIs" dxfId="150" priority="220" operator="greaterThanOrEqual">
      <formula>0.5</formula>
    </cfRule>
  </conditionalFormatting>
  <conditionalFormatting sqref="N9:N118">
    <cfRule type="cellIs" dxfId="149" priority="215" operator="equal">
      <formula>"NA"</formula>
    </cfRule>
    <cfRule type="cellIs" dxfId="148" priority="216" operator="lessThan">
      <formula>0.5</formula>
    </cfRule>
    <cfRule type="cellIs" dxfId="147" priority="217" operator="greaterThanOrEqual">
      <formula>0.5</formula>
    </cfRule>
  </conditionalFormatting>
  <conditionalFormatting sqref="P9:P118">
    <cfRule type="cellIs" dxfId="146" priority="212" operator="equal">
      <formula>"NA"</formula>
    </cfRule>
    <cfRule type="cellIs" dxfId="145" priority="213" operator="lessThan">
      <formula>0.5</formula>
    </cfRule>
    <cfRule type="cellIs" dxfId="144" priority="214" operator="greaterThanOrEqual">
      <formula>0.5</formula>
    </cfRule>
  </conditionalFormatting>
  <conditionalFormatting sqref="R9:R118">
    <cfRule type="cellIs" dxfId="143" priority="209" operator="equal">
      <formula>"NA"</formula>
    </cfRule>
    <cfRule type="cellIs" dxfId="142" priority="210" operator="lessThan">
      <formula>0.5</formula>
    </cfRule>
    <cfRule type="cellIs" dxfId="141" priority="211" operator="greaterThanOrEqual">
      <formula>0.5</formula>
    </cfRule>
  </conditionalFormatting>
  <conditionalFormatting sqref="T9:T118">
    <cfRule type="cellIs" dxfId="140" priority="206" operator="equal">
      <formula>"NA"</formula>
    </cfRule>
    <cfRule type="cellIs" dxfId="139" priority="207" operator="lessThan">
      <formula>0.5</formula>
    </cfRule>
    <cfRule type="cellIs" dxfId="138" priority="208" operator="greaterThanOrEqual">
      <formula>0.5</formula>
    </cfRule>
  </conditionalFormatting>
  <conditionalFormatting sqref="W9:W118">
    <cfRule type="cellIs" dxfId="137" priority="203" operator="equal">
      <formula>"NA"</formula>
    </cfRule>
    <cfRule type="cellIs" dxfId="136" priority="204" operator="lessThan">
      <formula>0.5</formula>
    </cfRule>
    <cfRule type="cellIs" dxfId="135" priority="205" operator="greaterThanOrEqual">
      <formula>0.5</formula>
    </cfRule>
  </conditionalFormatting>
  <conditionalFormatting sqref="Y9:Y118">
    <cfRule type="cellIs" dxfId="134" priority="200" operator="equal">
      <formula>"NA"</formula>
    </cfRule>
    <cfRule type="cellIs" dxfId="133" priority="201" operator="lessThan">
      <formula>0.5</formula>
    </cfRule>
    <cfRule type="cellIs" dxfId="132" priority="202" operator="greaterThanOrEqual">
      <formula>0.5</formula>
    </cfRule>
  </conditionalFormatting>
  <conditionalFormatting sqref="AA9:AA118">
    <cfRule type="cellIs" dxfId="131" priority="197" operator="equal">
      <formula>"NA"</formula>
    </cfRule>
    <cfRule type="cellIs" dxfId="130" priority="198" operator="lessThan">
      <formula>0.5</formula>
    </cfRule>
    <cfRule type="cellIs" dxfId="129" priority="199" operator="greaterThanOrEqual">
      <formula>0.5</formula>
    </cfRule>
  </conditionalFormatting>
  <conditionalFormatting sqref="AC9:AC118">
    <cfRule type="cellIs" dxfId="128" priority="194" operator="equal">
      <formula>"NA"</formula>
    </cfRule>
    <cfRule type="cellIs" dxfId="127" priority="195" operator="lessThan">
      <formula>0.5</formula>
    </cfRule>
    <cfRule type="cellIs" dxfId="126" priority="196" operator="greaterThanOrEqual">
      <formula>0.5</formula>
    </cfRule>
  </conditionalFormatting>
  <conditionalFormatting sqref="AF9:AF118">
    <cfRule type="cellIs" dxfId="125" priority="191" operator="equal">
      <formula>"NA"</formula>
    </cfRule>
    <cfRule type="cellIs" dxfId="124" priority="192" operator="lessThan">
      <formula>0.5</formula>
    </cfRule>
    <cfRule type="cellIs" dxfId="123" priority="193" operator="greaterThanOrEqual">
      <formula>0.5</formula>
    </cfRule>
  </conditionalFormatting>
  <conditionalFormatting sqref="AH9:AH118">
    <cfRule type="cellIs" dxfId="122" priority="188" operator="equal">
      <formula>"NA"</formula>
    </cfRule>
    <cfRule type="cellIs" dxfId="121" priority="189" operator="lessThan">
      <formula>0.5</formula>
    </cfRule>
    <cfRule type="cellIs" dxfId="120" priority="190" operator="greaterThanOrEqual">
      <formula>0.5</formula>
    </cfRule>
  </conditionalFormatting>
  <conditionalFormatting sqref="AJ9:AJ118">
    <cfRule type="cellIs" dxfId="119" priority="185" operator="equal">
      <formula>"NA"</formula>
    </cfRule>
    <cfRule type="cellIs" dxfId="118" priority="186" operator="lessThan">
      <formula>0.5</formula>
    </cfRule>
    <cfRule type="cellIs" dxfId="117" priority="187" operator="greaterThanOrEqual">
      <formula>0.5</formula>
    </cfRule>
  </conditionalFormatting>
  <conditionalFormatting sqref="AT9:AT118">
    <cfRule type="cellIs" dxfId="116" priority="182" operator="equal">
      <formula>"NA"</formula>
    </cfRule>
    <cfRule type="cellIs" dxfId="115" priority="183" operator="lessThan">
      <formula>0.5</formula>
    </cfRule>
    <cfRule type="cellIs" dxfId="114" priority="184" operator="greaterThanOrEqual">
      <formula>0.5</formula>
    </cfRule>
  </conditionalFormatting>
  <conditionalFormatting sqref="AV9:AV118">
    <cfRule type="cellIs" dxfId="113" priority="179" operator="equal">
      <formula>"NA"</formula>
    </cfRule>
    <cfRule type="cellIs" dxfId="112" priority="180" operator="lessThan">
      <formula>0.5</formula>
    </cfRule>
    <cfRule type="cellIs" dxfId="111" priority="181" operator="greaterThanOrEqual">
      <formula>0.5</formula>
    </cfRule>
  </conditionalFormatting>
  <conditionalFormatting sqref="AX9:AX118">
    <cfRule type="cellIs" dxfId="110" priority="176" operator="equal">
      <formula>"NA"</formula>
    </cfRule>
    <cfRule type="cellIs" dxfId="109" priority="177" operator="lessThan">
      <formula>0.5</formula>
    </cfRule>
    <cfRule type="cellIs" dxfId="108" priority="178" operator="greaterThanOrEqual">
      <formula>0.5</formula>
    </cfRule>
  </conditionalFormatting>
  <conditionalFormatting sqref="J7">
    <cfRule type="cellIs" dxfId="107" priority="175" operator="equal">
      <formula>0</formula>
    </cfRule>
  </conditionalFormatting>
  <conditionalFormatting sqref="J6:K6 AE5 AG5 AI5">
    <cfRule type="expression" dxfId="106" priority="173">
      <formula>IF(J7=0,1,0)</formula>
    </cfRule>
  </conditionalFormatting>
  <conditionalFormatting sqref="K7">
    <cfRule type="expression" dxfId="105" priority="172">
      <formula>IF(J8=0,1,0)</formula>
    </cfRule>
  </conditionalFormatting>
  <conditionalFormatting sqref="J8">
    <cfRule type="expression" dxfId="104" priority="171">
      <formula>IF(J8=0,1,0)</formula>
    </cfRule>
  </conditionalFormatting>
  <conditionalFormatting sqref="K8">
    <cfRule type="expression" dxfId="103" priority="170">
      <formula>IF(J8=0,1,0)</formula>
    </cfRule>
  </conditionalFormatting>
  <conditionalFormatting sqref="D7">
    <cfRule type="cellIs" dxfId="102" priority="169" operator="equal">
      <formula>0</formula>
    </cfRule>
  </conditionalFormatting>
  <conditionalFormatting sqref="D8">
    <cfRule type="expression" dxfId="101" priority="168">
      <formula>IF(D7=0,1,0)</formula>
    </cfRule>
  </conditionalFormatting>
  <conditionalFormatting sqref="E7">
    <cfRule type="expression" dxfId="100" priority="167">
      <formula>IF(D7=0,1,0)</formula>
    </cfRule>
  </conditionalFormatting>
  <conditionalFormatting sqref="E8">
    <cfRule type="expression" dxfId="99" priority="166">
      <formula>IF(D7=0,1,0)</formula>
    </cfRule>
  </conditionalFormatting>
  <conditionalFormatting sqref="D6:E6">
    <cfRule type="expression" dxfId="98" priority="165">
      <formula>IF(D7=0,1,0)</formula>
    </cfRule>
  </conditionalFormatting>
  <conditionalFormatting sqref="F6:G6">
    <cfRule type="expression" dxfId="97" priority="163">
      <formula>IF(F7=0,1,0)</formula>
    </cfRule>
  </conditionalFormatting>
  <conditionalFormatting sqref="G7">
    <cfRule type="expression" dxfId="96" priority="162">
      <formula>IF(F7=0,1,0)</formula>
    </cfRule>
  </conditionalFormatting>
  <conditionalFormatting sqref="F8">
    <cfRule type="expression" dxfId="95" priority="161">
      <formula>IF(F7=0,1,0)</formula>
    </cfRule>
  </conditionalFormatting>
  <conditionalFormatting sqref="G8">
    <cfRule type="expression" dxfId="94" priority="160">
      <formula>IF(F7=0,1,0)</formula>
    </cfRule>
  </conditionalFormatting>
  <conditionalFormatting sqref="F7">
    <cfRule type="expression" dxfId="93" priority="159">
      <formula>IF(F7=0,1,0)</formula>
    </cfRule>
  </conditionalFormatting>
  <conditionalFormatting sqref="M7">
    <cfRule type="cellIs" dxfId="92" priority="158" operator="equal">
      <formula>0</formula>
    </cfRule>
  </conditionalFormatting>
  <conditionalFormatting sqref="M6:N6">
    <cfRule type="expression" dxfId="91" priority="153">
      <formula>IF(M7=0,1,0)</formula>
    </cfRule>
  </conditionalFormatting>
  <conditionalFormatting sqref="N7">
    <cfRule type="expression" dxfId="90" priority="152">
      <formula>IF(M7=0,1,0)</formula>
    </cfRule>
  </conditionalFormatting>
  <conditionalFormatting sqref="M8">
    <cfRule type="expression" dxfId="89" priority="151">
      <formula>IF(M7=0,1,0)</formula>
    </cfRule>
  </conditionalFormatting>
  <conditionalFormatting sqref="N8">
    <cfRule type="expression" dxfId="88" priority="150">
      <formula>IF(M7=0,1,0)</formula>
    </cfRule>
  </conditionalFormatting>
  <conditionalFormatting sqref="O7">
    <cfRule type="cellIs" dxfId="87" priority="149" operator="equal">
      <formula>0</formula>
    </cfRule>
  </conditionalFormatting>
  <conditionalFormatting sqref="O6:P6">
    <cfRule type="expression" dxfId="86" priority="148">
      <formula>IF(O7=0,1,0)</formula>
    </cfRule>
  </conditionalFormatting>
  <conditionalFormatting sqref="P7">
    <cfRule type="expression" dxfId="85" priority="147">
      <formula>IF(O7=0,1,0)</formula>
    </cfRule>
  </conditionalFormatting>
  <conditionalFormatting sqref="O8">
    <cfRule type="expression" dxfId="84" priority="146">
      <formula>IF(O7=0,1,0)</formula>
    </cfRule>
  </conditionalFormatting>
  <conditionalFormatting sqref="P8">
    <cfRule type="expression" dxfId="83" priority="145">
      <formula>IF(O7=0,1,0)</formula>
    </cfRule>
  </conditionalFormatting>
  <conditionalFormatting sqref="Q7">
    <cfRule type="cellIs" dxfId="82" priority="144" operator="equal">
      <formula>0</formula>
    </cfRule>
  </conditionalFormatting>
  <conditionalFormatting sqref="Q6:R6">
    <cfRule type="expression" dxfId="81" priority="143">
      <formula>IF(Q7=0,1,0)</formula>
    </cfRule>
  </conditionalFormatting>
  <conditionalFormatting sqref="R7">
    <cfRule type="expression" dxfId="80" priority="140">
      <formula>IF(Q7=0,1,0)</formula>
    </cfRule>
  </conditionalFormatting>
  <conditionalFormatting sqref="Q8">
    <cfRule type="expression" dxfId="79" priority="139">
      <formula>IF(Q7=0,1,0)</formula>
    </cfRule>
  </conditionalFormatting>
  <conditionalFormatting sqref="R8">
    <cfRule type="expression" dxfId="78" priority="138">
      <formula>IF(Q7=0,1,0)</formula>
    </cfRule>
  </conditionalFormatting>
  <conditionalFormatting sqref="S7">
    <cfRule type="cellIs" dxfId="77" priority="137" operator="equal">
      <formula>0</formula>
    </cfRule>
  </conditionalFormatting>
  <conditionalFormatting sqref="S6:T6">
    <cfRule type="expression" dxfId="76" priority="136">
      <formula>IF(S7=0,1,0)</formula>
    </cfRule>
  </conditionalFormatting>
  <conditionalFormatting sqref="T7">
    <cfRule type="expression" dxfId="75" priority="135">
      <formula>IF(S7=0,1,0)</formula>
    </cfRule>
  </conditionalFormatting>
  <conditionalFormatting sqref="S8">
    <cfRule type="expression" dxfId="74" priority="134">
      <formula>IF(S7=0,1,0)</formula>
    </cfRule>
  </conditionalFormatting>
  <conditionalFormatting sqref="T8">
    <cfRule type="expression" dxfId="73" priority="133">
      <formula>IF(S7=0,1,0)</formula>
    </cfRule>
  </conditionalFormatting>
  <conditionalFormatting sqref="H7">
    <cfRule type="cellIs" dxfId="72" priority="132" operator="equal">
      <formula>0</formula>
    </cfRule>
  </conditionalFormatting>
  <conditionalFormatting sqref="H6:I6">
    <cfRule type="expression" dxfId="71" priority="131">
      <formula>IF(H7=0,1,0)</formula>
    </cfRule>
  </conditionalFormatting>
  <conditionalFormatting sqref="I7">
    <cfRule type="expression" dxfId="70" priority="130">
      <formula>IF(H7=0,1,0)</formula>
    </cfRule>
  </conditionalFormatting>
  <conditionalFormatting sqref="I8">
    <cfRule type="expression" dxfId="69" priority="129">
      <formula>IF(H7=0,1,0)</formula>
    </cfRule>
  </conditionalFormatting>
  <conditionalFormatting sqref="V7">
    <cfRule type="cellIs" dxfId="68" priority="128" operator="equal">
      <formula>0</formula>
    </cfRule>
  </conditionalFormatting>
  <conditionalFormatting sqref="V6:W6">
    <cfRule type="expression" dxfId="67" priority="127">
      <formula>IF(V7=0,1,0)</formula>
    </cfRule>
  </conditionalFormatting>
  <conditionalFormatting sqref="W7">
    <cfRule type="expression" dxfId="66" priority="126">
      <formula>IF(V7=0,1,0)</formula>
    </cfRule>
  </conditionalFormatting>
  <conditionalFormatting sqref="V8">
    <cfRule type="expression" dxfId="65" priority="125">
      <formula>IF(V7=0,1,0)</formula>
    </cfRule>
  </conditionalFormatting>
  <conditionalFormatting sqref="W8">
    <cfRule type="expression" dxfId="64" priority="124">
      <formula>IF(V7=0,1,0)</formula>
    </cfRule>
  </conditionalFormatting>
  <conditionalFormatting sqref="X7">
    <cfRule type="cellIs" dxfId="63" priority="123" operator="equal">
      <formula>0</formula>
    </cfRule>
  </conditionalFormatting>
  <conditionalFormatting sqref="X6:Y6">
    <cfRule type="expression" dxfId="62" priority="122">
      <formula>IF(X7=0,1,0)</formula>
    </cfRule>
  </conditionalFormatting>
  <conditionalFormatting sqref="Y7">
    <cfRule type="expression" dxfId="61" priority="121">
      <formula>IF(X7=0,1,0)</formula>
    </cfRule>
  </conditionalFormatting>
  <conditionalFormatting sqref="X8">
    <cfRule type="expression" dxfId="60" priority="120">
      <formula>IF(X7=0,1,0)</formula>
    </cfRule>
  </conditionalFormatting>
  <conditionalFormatting sqref="Y8">
    <cfRule type="expression" dxfId="59" priority="119">
      <formula>IF(X7=0,1,0)</formula>
    </cfRule>
  </conditionalFormatting>
  <conditionalFormatting sqref="Z7">
    <cfRule type="cellIs" dxfId="58" priority="118" operator="equal">
      <formula>0</formula>
    </cfRule>
  </conditionalFormatting>
  <conditionalFormatting sqref="Z6:AA6">
    <cfRule type="expression" dxfId="57" priority="117">
      <formula>IF(Z7=0,1,0)</formula>
    </cfRule>
  </conditionalFormatting>
  <conditionalFormatting sqref="AA7">
    <cfRule type="expression" dxfId="56" priority="116">
      <formula>IF(Z7=0,1,0)</formula>
    </cfRule>
  </conditionalFormatting>
  <conditionalFormatting sqref="Z8">
    <cfRule type="expression" dxfId="55" priority="115">
      <formula>IF(Z7=0,1,0)</formula>
    </cfRule>
  </conditionalFormatting>
  <conditionalFormatting sqref="AA8">
    <cfRule type="expression" dxfId="54" priority="114">
      <formula>IF(Z7=0,1,0)</formula>
    </cfRule>
  </conditionalFormatting>
  <conditionalFormatting sqref="AB7">
    <cfRule type="cellIs" dxfId="53" priority="113" operator="equal">
      <formula>0</formula>
    </cfRule>
  </conditionalFormatting>
  <conditionalFormatting sqref="AB6:AC6">
    <cfRule type="expression" dxfId="52" priority="112">
      <formula>IF(AB7=0,1,0)</formula>
    </cfRule>
  </conditionalFormatting>
  <conditionalFormatting sqref="AC7">
    <cfRule type="expression" dxfId="51" priority="111">
      <formula>IF(AB7=0,1,0)</formula>
    </cfRule>
  </conditionalFormatting>
  <conditionalFormatting sqref="AB8">
    <cfRule type="expression" dxfId="50" priority="110">
      <formula>IF(AB7=0,1,0)</formula>
    </cfRule>
  </conditionalFormatting>
  <conditionalFormatting sqref="AC8">
    <cfRule type="expression" dxfId="49" priority="109">
      <formula>IF(AB7=0,1,0)</formula>
    </cfRule>
  </conditionalFormatting>
  <conditionalFormatting sqref="AE7">
    <cfRule type="cellIs" dxfId="48" priority="108" operator="equal">
      <formula>0</formula>
    </cfRule>
  </conditionalFormatting>
  <conditionalFormatting sqref="AF7">
    <cfRule type="expression" dxfId="47" priority="106">
      <formula>IF(AE7=0,1,0)</formula>
    </cfRule>
  </conditionalFormatting>
  <conditionalFormatting sqref="AE8">
    <cfRule type="expression" dxfId="46" priority="105">
      <formula>IF(AE7=0,1,0)</formula>
    </cfRule>
  </conditionalFormatting>
  <conditionalFormatting sqref="AF8">
    <cfRule type="expression" dxfId="45" priority="104">
      <formula>IF(AE7=0,1,0)</formula>
    </cfRule>
  </conditionalFormatting>
  <conditionalFormatting sqref="AG7">
    <cfRule type="cellIs" dxfId="44" priority="103" operator="equal">
      <formula>0</formula>
    </cfRule>
  </conditionalFormatting>
  <conditionalFormatting sqref="AH7">
    <cfRule type="expression" dxfId="43" priority="101">
      <formula>IF(AG7=0,1,0)</formula>
    </cfRule>
  </conditionalFormatting>
  <conditionalFormatting sqref="AG8">
    <cfRule type="expression" dxfId="42" priority="100">
      <formula>IF(AG7=0,1,0)</formula>
    </cfRule>
  </conditionalFormatting>
  <conditionalFormatting sqref="AH8">
    <cfRule type="expression" dxfId="41" priority="99">
      <formula>IF(AG7=0,1,0)</formula>
    </cfRule>
  </conditionalFormatting>
  <conditionalFormatting sqref="AI7">
    <cfRule type="cellIs" dxfId="40" priority="98" operator="equal">
      <formula>0</formula>
    </cfRule>
  </conditionalFormatting>
  <conditionalFormatting sqref="AJ7">
    <cfRule type="expression" dxfId="39" priority="96">
      <formula>IF(AI7=0,1,0)</formula>
    </cfRule>
  </conditionalFormatting>
  <conditionalFormatting sqref="AI8">
    <cfRule type="expression" dxfId="38" priority="95">
      <formula>IF(AI7=0,1,0)</formula>
    </cfRule>
  </conditionalFormatting>
  <conditionalFormatting sqref="AJ8">
    <cfRule type="expression" dxfId="37" priority="94">
      <formula>IF(AI7=0,1,0)</formula>
    </cfRule>
  </conditionalFormatting>
  <conditionalFormatting sqref="AS7">
    <cfRule type="cellIs" dxfId="36" priority="93" operator="equal">
      <formula>0</formula>
    </cfRule>
  </conditionalFormatting>
  <conditionalFormatting sqref="AS6:AT6">
    <cfRule type="expression" dxfId="35" priority="92">
      <formula>IF(AS7=0,1,0)</formula>
    </cfRule>
  </conditionalFormatting>
  <conditionalFormatting sqref="AT7">
    <cfRule type="expression" dxfId="34" priority="91">
      <formula>IF(AS7=0,1,0)</formula>
    </cfRule>
  </conditionalFormatting>
  <conditionalFormatting sqref="AS8">
    <cfRule type="expression" dxfId="33" priority="90">
      <formula>IF(AS7=0,1,0)</formula>
    </cfRule>
  </conditionalFormatting>
  <conditionalFormatting sqref="AT8">
    <cfRule type="expression" dxfId="32" priority="89">
      <formula>IF(AS7=0,1,0)</formula>
    </cfRule>
  </conditionalFormatting>
  <conditionalFormatting sqref="AU7">
    <cfRule type="cellIs" dxfId="31" priority="88" operator="equal">
      <formula>0</formula>
    </cfRule>
  </conditionalFormatting>
  <conditionalFormatting sqref="AU6:AV6">
    <cfRule type="expression" dxfId="30" priority="87">
      <formula>IF(AU7=0,1,0)</formula>
    </cfRule>
  </conditionalFormatting>
  <conditionalFormatting sqref="AV7">
    <cfRule type="expression" dxfId="29" priority="86">
      <formula>IF(AU7=0,1,0)</formula>
    </cfRule>
  </conditionalFormatting>
  <conditionalFormatting sqref="AU8">
    <cfRule type="expression" dxfId="28" priority="85">
      <formula>IF(AU7=0,1,0)</formula>
    </cfRule>
  </conditionalFormatting>
  <conditionalFormatting sqref="AV8">
    <cfRule type="expression" dxfId="27" priority="84">
      <formula>IF(AU7=0,1,0)</formula>
    </cfRule>
  </conditionalFormatting>
  <conditionalFormatting sqref="AW7">
    <cfRule type="cellIs" dxfId="26" priority="83" operator="equal">
      <formula>0</formula>
    </cfRule>
  </conditionalFormatting>
  <conditionalFormatting sqref="AW6:AX6">
    <cfRule type="expression" dxfId="25" priority="82">
      <formula>IF(AW7=0,1,0)</formula>
    </cfRule>
  </conditionalFormatting>
  <conditionalFormatting sqref="AX7">
    <cfRule type="expression" dxfId="24" priority="81">
      <formula>IF(AW7=0,1,0)</formula>
    </cfRule>
  </conditionalFormatting>
  <conditionalFormatting sqref="AW8">
    <cfRule type="expression" dxfId="23" priority="80">
      <formula>IF(AW7=0,1,0)</formula>
    </cfRule>
  </conditionalFormatting>
  <conditionalFormatting sqref="AX8">
    <cfRule type="expression" dxfId="22" priority="79">
      <formula>IF(AW7=0,1,0)</formula>
    </cfRule>
  </conditionalFormatting>
  <conditionalFormatting sqref="H8">
    <cfRule type="expression" dxfId="21" priority="71">
      <formula>IF(H7=0,1,0)</formula>
    </cfRule>
  </conditionalFormatting>
  <conditionalFormatting sqref="AM9:AM118">
    <cfRule type="cellIs" dxfId="20" priority="40" operator="lessThan">
      <formula>0.5</formula>
    </cfRule>
    <cfRule type="cellIs" dxfId="19" priority="41" operator="equal">
      <formula>"NA"</formula>
    </cfRule>
    <cfRule type="cellIs" dxfId="18" priority="42" operator="greaterThanOrEqual">
      <formula>0.5</formula>
    </cfRule>
  </conditionalFormatting>
  <conditionalFormatting sqref="AO9:AO118">
    <cfRule type="cellIs" dxfId="17" priority="13" operator="lessThan">
      <formula>0.5</formula>
    </cfRule>
    <cfRule type="cellIs" dxfId="16" priority="14" operator="equal">
      <formula>"NA"</formula>
    </cfRule>
    <cfRule type="cellIs" dxfId="15" priority="15" operator="greaterThanOrEqual">
      <formula>0.5</formula>
    </cfRule>
  </conditionalFormatting>
  <conditionalFormatting sqref="AQ9:AQ118">
    <cfRule type="cellIs" dxfId="14" priority="10" operator="lessThan">
      <formula>0.5</formula>
    </cfRule>
    <cfRule type="cellIs" dxfId="13" priority="11" operator="equal">
      <formula>"NA"</formula>
    </cfRule>
    <cfRule type="cellIs" dxfId="12" priority="12" operator="greaterThanOrEqual">
      <formula>0.5</formula>
    </cfRule>
  </conditionalFormatting>
  <conditionalFormatting sqref="E10">
    <cfRule type="cellIs" dxfId="11" priority="8" operator="lessThan">
      <formula>0.5</formula>
    </cfRule>
    <cfRule type="cellIs" dxfId="10" priority="9" operator="greaterThanOrEqual">
      <formula>0.5</formula>
    </cfRule>
  </conditionalFormatting>
  <conditionalFormatting sqref="E10">
    <cfRule type="cellIs" dxfId="9" priority="7" operator="equal">
      <formula>"NA"</formula>
    </cfRule>
  </conditionalFormatting>
  <conditionalFormatting sqref="G10">
    <cfRule type="cellIs" dxfId="8" priority="4" operator="equal">
      <formula>"NA"</formula>
    </cfRule>
    <cfRule type="cellIs" dxfId="7" priority="5" operator="lessThan">
      <formula>0.5</formula>
    </cfRule>
    <cfRule type="cellIs" dxfId="6" priority="6" operator="greaterThanOrEqual">
      <formula>0.5</formula>
    </cfRule>
  </conditionalFormatting>
  <conditionalFormatting sqref="I10">
    <cfRule type="cellIs" dxfId="5" priority="1" operator="equal">
      <formula>"NA"</formula>
    </cfRule>
    <cfRule type="cellIs" dxfId="4" priority="2" operator="lessThan">
      <formula>0.5</formula>
    </cfRule>
    <cfRule type="cellIs" dxfId="3" priority="3" operator="greaterThanOrEqual">
      <formula>0.5</formula>
    </cfRule>
  </conditionalFormatting>
  <dataValidations count="21">
    <dataValidation type="custom" showInputMessage="1" showErrorMessage="1" error="CLO Marks Mismatch, Kindly Check Outline " sqref="D9:D118" xr:uid="{01A76B4D-ABCB-40AA-B91B-6B4D8D94E142}">
      <formula1>AND($D$8&lt;&gt;0,D9&lt;=$D$8)</formula1>
    </dataValidation>
    <dataValidation type="custom" showInputMessage="1" showErrorMessage="1" error="CLO Marks Mismatch, Kindly Check Outline " sqref="F9:F118" xr:uid="{7103B17C-06E5-4AF9-879A-DFAEFE31AB7B}">
      <formula1>AND($F$8&lt;&gt;0,F9&lt;=$F$8)</formula1>
    </dataValidation>
    <dataValidation type="custom" showInputMessage="1" showErrorMessage="1" error="CLO Marks Mismatch, Kindly Check Outline " sqref="H9:H118" xr:uid="{F056A92A-EBEC-4DE0-B645-A41925D10177}">
      <formula1>AND($H$8&lt;&gt;0,H9&lt;=$H$8)</formula1>
    </dataValidation>
    <dataValidation type="custom" showInputMessage="1" showErrorMessage="1" error="CLO Marks Mismatch, Kindly Check Outline " sqref="J9:J118" xr:uid="{1847FBBA-1B8A-4324-9389-30755239CE92}">
      <formula1>AND($J$8&lt;&gt;0,J9&lt;=$J$8)</formula1>
    </dataValidation>
    <dataValidation type="custom" showInputMessage="1" showErrorMessage="1" error="CLO Marks Mismatch, Kindly Check Outline " sqref="M9:M118" xr:uid="{17AC5BBC-2482-476F-A3FB-592F13D09542}">
      <formula1>AND($M$8&lt;&gt;0,M9&lt;=$M$8)</formula1>
    </dataValidation>
    <dataValidation type="custom" showInputMessage="1" showErrorMessage="1" error="CLO Marks Mismatch, Kindly Check Outline " sqref="O9:O118" xr:uid="{8DC80178-955B-4518-8AD9-99E2438524B8}">
      <formula1>AND($O$8&lt;&gt;0,O9&lt;=$O$8)</formula1>
    </dataValidation>
    <dataValidation type="custom" showInputMessage="1" showErrorMessage="1" error="CLO Marks Mismatch, Kindly Check Outline e" sqref="Q9:Q118" xr:uid="{F9914294-1EEB-42FF-B34C-B154020780F9}">
      <formula1>AND($Q$8&lt;&gt;0,Q9&lt;=$Q$8)</formula1>
    </dataValidation>
    <dataValidation type="custom" showInputMessage="1" showErrorMessage="1" error="CLO Marks Mismatch, Kindly Check Outline " sqref="S9:S118" xr:uid="{AB32CEAB-B580-4CDB-BC50-25A6AED87B60}">
      <formula1>AND($S$8&lt;&gt;0,S9&lt;=$S$8)</formula1>
    </dataValidation>
    <dataValidation type="custom" showInputMessage="1" showErrorMessage="1" error="CLO Marks Mismatch, Kindly Check Outline " sqref="V9:V118" xr:uid="{E6BEE317-E0AE-4A66-856E-18EE56A18328}">
      <formula1>AND($V$8&lt;&gt;0,V9&lt;=$V$8)</formula1>
    </dataValidation>
    <dataValidation type="custom" showInputMessage="1" showErrorMessage="1" sqref="X9:X118" xr:uid="{6178D68E-F77C-4499-80F5-1748AE687CA6}">
      <formula1>AND($X$8&lt;&gt;0,X9&lt;=$X$8)</formula1>
    </dataValidation>
    <dataValidation type="custom" showInputMessage="1" showErrorMessage="1" error="CLO Marks Mismatch, Kindly Check Outline " sqref="Z9:Z118" xr:uid="{4AF21F52-156F-4801-B025-84B8C640F364}">
      <formula1>AND($Z$8&lt;&gt;0,Z9&lt;=$Z$8)</formula1>
    </dataValidation>
    <dataValidation type="custom" showInputMessage="1" showErrorMessage="1" error="CLO Marks Mismatch, Kindly Check Outline " sqref="AB9:AB118" xr:uid="{4B21478F-F985-4241-9C98-16DC69D25368}">
      <formula1>AND($AB$8&lt;&gt;0,AB9&lt;=$AB$8)</formula1>
    </dataValidation>
    <dataValidation type="custom" showInputMessage="1" showErrorMessage="1" error="CLO Marks Mismatch, Kindly Check Outline " sqref="AE9:AE118" xr:uid="{BD5F8FE4-8F27-4356-B537-6E044BF97D50}">
      <formula1>AND($AE$8&lt;&gt;0,AE9&lt;=$AE$8)</formula1>
    </dataValidation>
    <dataValidation type="custom" showInputMessage="1" showErrorMessage="1" error="CLO Marks Mismatch, Kindly Check Outline " sqref="AG9:AG118" xr:uid="{138D9D42-0400-4383-8144-8E2FB4094675}">
      <formula1>AND($AG$8&lt;&gt;0,AG9&lt;=$AG$8)</formula1>
    </dataValidation>
    <dataValidation type="custom" showInputMessage="1" showErrorMessage="1" error="CLO Marks Mismatch, Kindly Check Outline " sqref="AI9:AI118" xr:uid="{0221B0C0-E447-40D4-A5C8-159BC8CBF1E4}">
      <formula1>AND($AI$8&lt;&gt;0,AI9&lt;=$AI$8)</formula1>
    </dataValidation>
    <dataValidation type="custom" showInputMessage="1" showErrorMessage="1" error="CLO Marks Mismatch, Kindly Check Outline " sqref="AS9:AS118" xr:uid="{FD228CF8-E045-4816-95D8-501AE492574B}">
      <formula1>AND($AS$8&lt;&gt;0,AS9&lt;=$AS$8)</formula1>
    </dataValidation>
    <dataValidation type="custom" showInputMessage="1" showErrorMessage="1" error="CLO Marks Mismatch, Kindly Check Outline " sqref="AU9:AU118" xr:uid="{B351435F-C7F7-43B9-88C0-E503682A2B07}">
      <formula1>AND($AU$8&lt;&gt;0,AU9&lt;=$AU$8)</formula1>
    </dataValidation>
    <dataValidation type="custom" showInputMessage="1" showErrorMessage="1" error="CLO Marks Mismatch, Kindly Check Outline " sqref="AW9:AW118" xr:uid="{A92FF211-2315-4309-8744-22E7A17E84A7}">
      <formula1>AND($AW$8&lt;&gt;0,AW9&lt;=$AW$8)</formula1>
    </dataValidation>
    <dataValidation type="custom" showInputMessage="1" showErrorMessage="1" error="Lab CLO Midterm Marks Mismatch. Kindly Check Outline" sqref="AL9:AL118" xr:uid="{68A8F68D-DE3B-47A9-9C7B-AAF51A8264DB}">
      <formula1>AND($AL$8&lt;&gt;0,AL9&lt;=$AL$8)</formula1>
    </dataValidation>
    <dataValidation type="custom" showInputMessage="1" showErrorMessage="1" error="CLO Lab Midterm Marks Mismatch. Kindly Check Outline" sqref="AN9:AN118" xr:uid="{A13A7635-703C-42C9-B615-CE71F0335E8A}">
      <formula1>AND($AN$8&lt;&gt;0,AN9&lt;=$AN$8)</formula1>
    </dataValidation>
    <dataValidation type="custom" showInputMessage="1" showErrorMessage="1" error="CLO Lab Midterm Marks Mismatch. Kindly Check Outline" sqref="AP9:AP118" xr:uid="{4E558F7B-4E8B-4E71-975F-93D0BA1FC772}">
      <formula1>AND($AP$8&lt;&gt;0,AP9&lt;=$AP$8)</formula1>
    </dataValidation>
  </dataValidations>
  <printOptions horizontalCentered="1" verticalCentered="1"/>
  <pageMargins left="0.5" right="0.5" top="0.75" bottom="0.75" header="0.3" footer="0.3"/>
  <pageSetup paperSize="5" scale="2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F5E660AD-2EEE-49BC-9072-93F2D826050C}">
            <xm:f>IF(AND($AL$8=0,Outline!$C$14&gt;0),1,0)</xm:f>
            <x14:dxf>
              <fill>
                <patternFill>
                  <bgColor theme="1"/>
                </patternFill>
              </fill>
            </x14:dxf>
          </x14:cfRule>
          <xm:sqref>AL5:AM8</xm:sqref>
        </x14:conditionalFormatting>
        <x14:conditionalFormatting xmlns:xm="http://schemas.microsoft.com/office/excel/2006/main">
          <x14:cfRule type="expression" priority="23" id="{DA285DB9-3481-44FD-87D0-3703798BE9FC}">
            <xm:f>IF(AND($AP$8=0, Outline!$C$14&gt;0),1,0)</xm:f>
            <x14:dxf>
              <fill>
                <patternFill>
                  <bgColor theme="1"/>
                </patternFill>
              </fill>
            </x14:dxf>
          </x14:cfRule>
          <xm:sqref>AP5:AQ8</xm:sqref>
        </x14:conditionalFormatting>
        <x14:conditionalFormatting xmlns:xm="http://schemas.microsoft.com/office/excel/2006/main">
          <x14:cfRule type="expression" priority="22" id="{2DB1A298-6395-4378-84E3-F6965422FFE9}">
            <xm:f>IF(AND($AN$8=0,Outline!$C$14&gt;0),1,0)</xm:f>
            <x14:dxf>
              <fill>
                <patternFill>
                  <bgColor theme="1"/>
                </patternFill>
              </fill>
            </x14:dxf>
          </x14:cfRule>
          <xm:sqref>AN5:AO8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5" tint="-0.249977111117893"/>
  </sheetPr>
  <dimension ref="A1:HD1000"/>
  <sheetViews>
    <sheetView view="pageLayout" zoomScaleNormal="100" workbookViewId="0">
      <selection activeCell="J120" sqref="J120"/>
    </sheetView>
  </sheetViews>
  <sheetFormatPr defaultColWidth="9" defaultRowHeight="15" x14ac:dyDescent="0.25"/>
  <cols>
    <col min="1" max="1" width="5.42578125" style="72" customWidth="1"/>
    <col min="2" max="2" width="7.140625" style="72" customWidth="1"/>
    <col min="3" max="3" width="15.140625" style="72" customWidth="1"/>
    <col min="4" max="4" width="11.85546875" style="72" customWidth="1"/>
    <col min="5" max="5" width="11.7109375" style="72" customWidth="1"/>
    <col min="6" max="8" width="11.85546875" style="72" customWidth="1"/>
    <col min="9" max="212" width="9.140625" style="72" customWidth="1"/>
  </cols>
  <sheetData>
    <row r="1" spans="1:8" ht="18" customHeight="1" x14ac:dyDescent="0.25">
      <c r="A1" s="278" t="s">
        <v>126</v>
      </c>
      <c r="B1" s="278"/>
      <c r="C1" s="278"/>
      <c r="D1" s="278"/>
      <c r="E1" s="278"/>
      <c r="F1" s="278"/>
      <c r="G1" s="278"/>
      <c r="H1" s="278"/>
    </row>
    <row r="2" spans="1:8" ht="15" customHeight="1" x14ac:dyDescent="0.25">
      <c r="A2" s="279" t="s">
        <v>154</v>
      </c>
      <c r="B2" s="279"/>
      <c r="C2" s="279"/>
      <c r="D2" s="279"/>
      <c r="E2" s="279"/>
      <c r="F2" s="279"/>
      <c r="G2" s="279"/>
      <c r="H2" s="279"/>
    </row>
    <row r="3" spans="1:8" ht="15" customHeight="1" x14ac:dyDescent="0.25">
      <c r="A3" s="280" t="str">
        <f>Outline!A3</f>
        <v>COMPUTER SYSTEMS ENGINEERING AND SCIENCES DEPARTMENT</v>
      </c>
      <c r="B3" s="280"/>
      <c r="C3" s="280"/>
      <c r="D3" s="280"/>
      <c r="E3" s="280"/>
      <c r="F3" s="280"/>
      <c r="G3" s="280"/>
      <c r="H3" s="280"/>
    </row>
    <row r="4" spans="1:8" ht="17.25" customHeight="1" x14ac:dyDescent="0.25">
      <c r="B4" s="281" t="s">
        <v>158</v>
      </c>
      <c r="C4" s="281"/>
      <c r="D4" s="277" t="str">
        <f>Outline!A5</f>
        <v>B.E (CSE) 4th Semester</v>
      </c>
      <c r="E4" s="277"/>
      <c r="F4" s="277"/>
      <c r="G4" s="277"/>
      <c r="H4" s="277"/>
    </row>
    <row r="5" spans="1:8" ht="17.25" customHeight="1" x14ac:dyDescent="0.25">
      <c r="B5" s="276" t="str">
        <f>Outline!A8</f>
        <v>Course Title: Signals And Systems</v>
      </c>
      <c r="C5" s="276"/>
      <c r="D5" s="276"/>
      <c r="E5" s="276"/>
      <c r="F5" s="276" t="str">
        <f>Outline!A11</f>
        <v>Course Teacher:  Dr Wazir Muhammad</v>
      </c>
      <c r="G5" s="276"/>
      <c r="H5" s="276"/>
    </row>
    <row r="6" spans="1:8" ht="17.25" customHeight="1" x14ac:dyDescent="0.25">
      <c r="B6" s="276" t="str">
        <f>Outline!A10</f>
        <v>Credit Hours: 3+1</v>
      </c>
      <c r="C6" s="276"/>
      <c r="D6" s="276"/>
      <c r="E6" s="276"/>
      <c r="F6" s="276" t="str">
        <f>Outline!A9</f>
        <v>Course Code: EE-224</v>
      </c>
      <c r="G6" s="276"/>
      <c r="H6" s="276"/>
    </row>
    <row r="7" spans="1:8" ht="17.25" customHeight="1" x14ac:dyDescent="0.25">
      <c r="B7" s="276" t="str">
        <f>Outline!A13</f>
        <v>Course Enrlolment No: 116</v>
      </c>
      <c r="C7" s="276"/>
      <c r="D7" s="276"/>
      <c r="E7" s="276"/>
      <c r="F7" s="191"/>
      <c r="G7" s="191"/>
      <c r="H7" s="191"/>
    </row>
    <row r="8" spans="1:8" ht="6.75" customHeight="1" x14ac:dyDescent="0.25">
      <c r="B8" s="113"/>
      <c r="C8" s="101"/>
      <c r="D8" s="101"/>
      <c r="E8" s="101"/>
      <c r="F8" s="101"/>
      <c r="G8" s="101"/>
      <c r="H8" s="101"/>
    </row>
    <row r="9" spans="1:8" ht="33" customHeight="1" x14ac:dyDescent="0.25">
      <c r="B9" s="272" t="s">
        <v>102</v>
      </c>
      <c r="C9" s="274" t="s">
        <v>101</v>
      </c>
      <c r="D9" s="128" t="str">
        <f>IF(Outline!$C$14&gt;0,"Sessional","Semester-Work")</f>
        <v>Sessional</v>
      </c>
      <c r="E9" s="128" t="s">
        <v>160</v>
      </c>
      <c r="F9" s="128" t="str">
        <f>IF(Outline!$C$14&gt;0,"Lab Work","NA")</f>
        <v>Lab Work</v>
      </c>
      <c r="G9" s="128" t="s">
        <v>175</v>
      </c>
      <c r="H9" s="128" t="s">
        <v>161</v>
      </c>
    </row>
    <row r="10" spans="1:8" x14ac:dyDescent="0.25">
      <c r="B10" s="273"/>
      <c r="C10" s="275"/>
      <c r="D10" s="128">
        <f>IF(Outline!$C$14&gt;0,Outline!$E$24,Outline!$E$32)</f>
        <v>10</v>
      </c>
      <c r="E10" s="73">
        <f>IF(Outline!$C$14&gt;0,Outline!$F$24,Outline!$F$32)</f>
        <v>20</v>
      </c>
      <c r="F10" s="73">
        <f>Outline!$F$33</f>
        <v>20</v>
      </c>
      <c r="G10" s="73">
        <f>IF(Outline!$C$14&gt;0,Outline!$G$24,Outline!$G$32)</f>
        <v>50</v>
      </c>
      <c r="H10" s="73">
        <f>Outline!$F$34</f>
        <v>100</v>
      </c>
    </row>
    <row r="11" spans="1:8" ht="18" customHeight="1" x14ac:dyDescent="0.25">
      <c r="B11" s="90">
        <f>Gradesheet!A9</f>
        <v>1</v>
      </c>
      <c r="C11" s="91" t="str">
        <f>(Gradesheet!B9)</f>
        <v>18CS01</v>
      </c>
      <c r="D11" s="92">
        <f>IF(Outline!$C$14&gt;0,Gradesheet!AD9,Gradesheet!AK9)</f>
        <v>7</v>
      </c>
      <c r="E11" s="145">
        <f>IF(Outline!$C$14&gt;0,Gradesheet!L9,Gradesheet!AR9)</f>
        <v>17</v>
      </c>
      <c r="F11" s="145">
        <f>IF(Outline!$C$14&gt;0,Gradesheet!AZ9,"NA")</f>
        <v>19</v>
      </c>
      <c r="G11" s="145">
        <f>IF(Outline!$C$14&gt;0,Gradesheet!U9,Gradesheet!AY9)</f>
        <v>24</v>
      </c>
      <c r="H11" s="146">
        <f>SUM(D11:G11)</f>
        <v>67</v>
      </c>
    </row>
    <row r="12" spans="1:8" ht="18" customHeight="1" x14ac:dyDescent="0.25">
      <c r="B12" s="90">
        <f>Gradesheet!A10</f>
        <v>2</v>
      </c>
      <c r="C12" s="91" t="str">
        <f>(Gradesheet!B10)</f>
        <v>18CS03</v>
      </c>
      <c r="D12" s="92">
        <f>IF(Outline!$C$14&gt;0,Gradesheet!AD10,Gradesheet!AK10)</f>
        <v>8</v>
      </c>
      <c r="E12" s="145">
        <f>IF(Outline!$C$14&gt;0,Gradesheet!L10,Gradesheet!AR10)</f>
        <v>18</v>
      </c>
      <c r="F12" s="145">
        <f>IF(Outline!$C$14&gt;0,Gradesheet!AZ10,"NA")</f>
        <v>18</v>
      </c>
      <c r="G12" s="145">
        <f>IF(Outline!$C$14&gt;0,Gradesheet!U10,Gradesheet!AY10)</f>
        <v>36</v>
      </c>
      <c r="H12" s="146">
        <f t="shared" ref="H12:H75" si="0">SUM(D12:G12)</f>
        <v>80</v>
      </c>
    </row>
    <row r="13" spans="1:8" ht="18" customHeight="1" x14ac:dyDescent="0.25">
      <c r="B13" s="90">
        <f>Gradesheet!A11</f>
        <v>3</v>
      </c>
      <c r="C13" s="91" t="str">
        <f>(Gradesheet!B11)</f>
        <v>18CS04</v>
      </c>
      <c r="D13" s="92">
        <f>IF(Outline!$C$14&gt;0,Gradesheet!AD11,Gradesheet!AK11)</f>
        <v>7</v>
      </c>
      <c r="E13" s="145">
        <f>IF(Outline!$C$14&gt;0,Gradesheet!L11,Gradesheet!AR11)</f>
        <v>16</v>
      </c>
      <c r="F13" s="145">
        <f>IF(Outline!$C$14&gt;0,Gradesheet!AZ11,"NA")</f>
        <v>20</v>
      </c>
      <c r="G13" s="145">
        <f>IF(Outline!$C$14&gt;0,Gradesheet!U11,Gradesheet!AY11)</f>
        <v>36</v>
      </c>
      <c r="H13" s="146">
        <f t="shared" si="0"/>
        <v>79</v>
      </c>
    </row>
    <row r="14" spans="1:8" ht="18" customHeight="1" x14ac:dyDescent="0.25">
      <c r="B14" s="90">
        <f>Gradesheet!A12</f>
        <v>4</v>
      </c>
      <c r="C14" s="91" t="str">
        <f>(Gradesheet!B12)</f>
        <v>18CS05</v>
      </c>
      <c r="D14" s="92">
        <f>IF(Outline!$C$14&gt;0,Gradesheet!AD12,Gradesheet!AK12)</f>
        <v>7</v>
      </c>
      <c r="E14" s="145">
        <f>IF(Outline!$C$14&gt;0,Gradesheet!L12,Gradesheet!AR12)</f>
        <v>10</v>
      </c>
      <c r="F14" s="145">
        <f>IF(Outline!$C$14&gt;0,Gradesheet!AZ12,"NA")</f>
        <v>18</v>
      </c>
      <c r="G14" s="145">
        <f>IF(Outline!$C$14&gt;0,Gradesheet!U12,Gradesheet!AY12)</f>
        <v>15</v>
      </c>
      <c r="H14" s="146">
        <f t="shared" si="0"/>
        <v>50</v>
      </c>
    </row>
    <row r="15" spans="1:8" ht="18" customHeight="1" x14ac:dyDescent="0.25">
      <c r="B15" s="90">
        <f>Gradesheet!A13</f>
        <v>5</v>
      </c>
      <c r="C15" s="91" t="str">
        <f>(Gradesheet!B13)</f>
        <v>18CS07</v>
      </c>
      <c r="D15" s="92">
        <f>IF(Outline!$C$14&gt;0,Gradesheet!AD13,Gradesheet!AK13)</f>
        <v>7</v>
      </c>
      <c r="E15" s="145">
        <f>IF(Outline!$C$14&gt;0,Gradesheet!L13,Gradesheet!AR13)</f>
        <v>15</v>
      </c>
      <c r="F15" s="145">
        <f>IF(Outline!$C$14&gt;0,Gradesheet!AZ13,"NA")</f>
        <v>20</v>
      </c>
      <c r="G15" s="145">
        <f>IF(Outline!$C$14&gt;0,Gradesheet!U13,Gradesheet!AY13)</f>
        <v>34</v>
      </c>
      <c r="H15" s="146">
        <f t="shared" si="0"/>
        <v>76</v>
      </c>
    </row>
    <row r="16" spans="1:8" ht="18" hidden="1" customHeight="1" x14ac:dyDescent="0.25">
      <c r="B16" s="90">
        <f>Gradesheet!A14</f>
        <v>6</v>
      </c>
      <c r="C16" s="91">
        <f>(Gradesheet!B14)</f>
        <v>0</v>
      </c>
      <c r="D16" s="92">
        <f>IF(Outline!$C$14&gt;0,Gradesheet!AD14,Gradesheet!AK14)</f>
        <v>0</v>
      </c>
      <c r="E16" s="145">
        <f>IF(Outline!$C$14&gt;0,Gradesheet!L14,Gradesheet!AR14)</f>
        <v>0</v>
      </c>
      <c r="F16" s="145">
        <f>IF(Outline!$C$14&gt;0,Gradesheet!AZ14,"NA")</f>
        <v>0</v>
      </c>
      <c r="G16" s="145">
        <f>IF(Outline!$C$14&gt;0,Gradesheet!U14,Gradesheet!AY14)</f>
        <v>0</v>
      </c>
      <c r="H16" s="146">
        <f t="shared" si="0"/>
        <v>0</v>
      </c>
    </row>
    <row r="17" spans="2:8" ht="18" hidden="1" customHeight="1" x14ac:dyDescent="0.25">
      <c r="B17" s="90">
        <f>Gradesheet!A15</f>
        <v>7</v>
      </c>
      <c r="C17" s="91">
        <f>(Gradesheet!B15)</f>
        <v>0</v>
      </c>
      <c r="D17" s="92">
        <f>IF(Outline!$C$14&gt;0,Gradesheet!AD15,Gradesheet!AK15)</f>
        <v>0</v>
      </c>
      <c r="E17" s="145">
        <f>IF(Outline!$C$14&gt;0,Gradesheet!L15,Gradesheet!AR15)</f>
        <v>0</v>
      </c>
      <c r="F17" s="145">
        <f>IF(Outline!$C$14&gt;0,Gradesheet!AZ15,"NA")</f>
        <v>0</v>
      </c>
      <c r="G17" s="145">
        <f>IF(Outline!$C$14&gt;0,Gradesheet!U15,Gradesheet!AY15)</f>
        <v>0</v>
      </c>
      <c r="H17" s="146">
        <f t="shared" si="0"/>
        <v>0</v>
      </c>
    </row>
    <row r="18" spans="2:8" ht="18" hidden="1" customHeight="1" x14ac:dyDescent="0.25">
      <c r="B18" s="90">
        <f>Gradesheet!A16</f>
        <v>8</v>
      </c>
      <c r="C18" s="91">
        <f>(Gradesheet!B16)</f>
        <v>0</v>
      </c>
      <c r="D18" s="92">
        <f>IF(Outline!$C$14&gt;0,Gradesheet!AD16,Gradesheet!AK16)</f>
        <v>0</v>
      </c>
      <c r="E18" s="145">
        <f>IF(Outline!$C$14&gt;0,Gradesheet!L16,Gradesheet!AR16)</f>
        <v>0</v>
      </c>
      <c r="F18" s="145">
        <f>IF(Outline!$C$14&gt;0,Gradesheet!AZ16,"NA")</f>
        <v>0</v>
      </c>
      <c r="G18" s="145">
        <f>IF(Outline!$C$14&gt;0,Gradesheet!U16,Gradesheet!AY16)</f>
        <v>0</v>
      </c>
      <c r="H18" s="146">
        <f t="shared" si="0"/>
        <v>0</v>
      </c>
    </row>
    <row r="19" spans="2:8" ht="18" hidden="1" customHeight="1" x14ac:dyDescent="0.25">
      <c r="B19" s="90">
        <f>Gradesheet!A17</f>
        <v>9</v>
      </c>
      <c r="C19" s="91">
        <f>(Gradesheet!B17)</f>
        <v>0</v>
      </c>
      <c r="D19" s="92">
        <f>IF(Outline!$C$14&gt;0,Gradesheet!AD17,Gradesheet!AK17)</f>
        <v>0</v>
      </c>
      <c r="E19" s="145">
        <f>IF(Outline!$C$14&gt;0,Gradesheet!L17,Gradesheet!AR17)</f>
        <v>0</v>
      </c>
      <c r="F19" s="145">
        <f>IF(Outline!$C$14&gt;0,Gradesheet!AZ17,"NA")</f>
        <v>0</v>
      </c>
      <c r="G19" s="145">
        <f>IF(Outline!$C$14&gt;0,Gradesheet!U17,Gradesheet!AY17)</f>
        <v>0</v>
      </c>
      <c r="H19" s="146">
        <f t="shared" si="0"/>
        <v>0</v>
      </c>
    </row>
    <row r="20" spans="2:8" ht="18" hidden="1" customHeight="1" x14ac:dyDescent="0.25">
      <c r="B20" s="90">
        <f>Gradesheet!A18</f>
        <v>10</v>
      </c>
      <c r="C20" s="91">
        <f>(Gradesheet!B18)</f>
        <v>0</v>
      </c>
      <c r="D20" s="92">
        <f>IF(Outline!$C$14&gt;0,Gradesheet!AD18,Gradesheet!AK18)</f>
        <v>0</v>
      </c>
      <c r="E20" s="145">
        <f>IF(Outline!$C$14&gt;0,Gradesheet!L18,Gradesheet!AR18)</f>
        <v>0</v>
      </c>
      <c r="F20" s="145">
        <f>IF(Outline!$C$14&gt;0,Gradesheet!AZ18,"NA")</f>
        <v>0</v>
      </c>
      <c r="G20" s="145">
        <f>IF(Outline!$C$14&gt;0,Gradesheet!U18,Gradesheet!AY18)</f>
        <v>0</v>
      </c>
      <c r="H20" s="146">
        <f t="shared" si="0"/>
        <v>0</v>
      </c>
    </row>
    <row r="21" spans="2:8" ht="18" hidden="1" customHeight="1" x14ac:dyDescent="0.25">
      <c r="B21" s="90">
        <f>Gradesheet!A19</f>
        <v>11</v>
      </c>
      <c r="C21" s="91">
        <f>(Gradesheet!B19)</f>
        <v>0</v>
      </c>
      <c r="D21" s="92">
        <f>IF(Outline!$C$14&gt;0,Gradesheet!AD19,Gradesheet!AK19)</f>
        <v>0</v>
      </c>
      <c r="E21" s="145">
        <f>IF(Outline!$C$14&gt;0,Gradesheet!L19,Gradesheet!AR19)</f>
        <v>0</v>
      </c>
      <c r="F21" s="145">
        <f>IF(Outline!$C$14&gt;0,Gradesheet!AZ19,"NA")</f>
        <v>0</v>
      </c>
      <c r="G21" s="145">
        <f>IF(Outline!$C$14&gt;0,Gradesheet!U19,Gradesheet!AY19)</f>
        <v>0</v>
      </c>
      <c r="H21" s="146">
        <f t="shared" si="0"/>
        <v>0</v>
      </c>
    </row>
    <row r="22" spans="2:8" ht="18" hidden="1" customHeight="1" x14ac:dyDescent="0.25">
      <c r="B22" s="90">
        <f>Gradesheet!A20</f>
        <v>12</v>
      </c>
      <c r="C22" s="91">
        <f>(Gradesheet!B20)</f>
        <v>0</v>
      </c>
      <c r="D22" s="92">
        <f>IF(Outline!$C$14&gt;0,Gradesheet!AD20,Gradesheet!AK20)</f>
        <v>0</v>
      </c>
      <c r="E22" s="145">
        <f>IF(Outline!$C$14&gt;0,Gradesheet!L20,Gradesheet!AR20)</f>
        <v>0</v>
      </c>
      <c r="F22" s="145">
        <f>IF(Outline!$C$14&gt;0,Gradesheet!AZ20,"NA")</f>
        <v>0</v>
      </c>
      <c r="G22" s="145">
        <f>IF(Outline!$C$14&gt;0,Gradesheet!U20,Gradesheet!AY20)</f>
        <v>0</v>
      </c>
      <c r="H22" s="146">
        <f t="shared" si="0"/>
        <v>0</v>
      </c>
    </row>
    <row r="23" spans="2:8" ht="18" hidden="1" customHeight="1" x14ac:dyDescent="0.25">
      <c r="B23" s="90">
        <f>Gradesheet!A21</f>
        <v>13</v>
      </c>
      <c r="C23" s="91">
        <f>(Gradesheet!B21)</f>
        <v>0</v>
      </c>
      <c r="D23" s="92">
        <f>IF(Outline!$C$14&gt;0,Gradesheet!AD21,Gradesheet!AK21)</f>
        <v>0</v>
      </c>
      <c r="E23" s="145">
        <f>IF(Outline!$C$14&gt;0,Gradesheet!L21,Gradesheet!AR21)</f>
        <v>0</v>
      </c>
      <c r="F23" s="145">
        <f>IF(Outline!$C$14&gt;0,Gradesheet!AZ21,"NA")</f>
        <v>0</v>
      </c>
      <c r="G23" s="145">
        <f>IF(Outline!$C$14&gt;0,Gradesheet!U21,Gradesheet!AY21)</f>
        <v>0</v>
      </c>
      <c r="H23" s="146">
        <f t="shared" si="0"/>
        <v>0</v>
      </c>
    </row>
    <row r="24" spans="2:8" ht="18" hidden="1" customHeight="1" x14ac:dyDescent="0.25">
      <c r="B24" s="90">
        <f>Gradesheet!A22</f>
        <v>14</v>
      </c>
      <c r="C24" s="91">
        <f>(Gradesheet!B22)</f>
        <v>0</v>
      </c>
      <c r="D24" s="92">
        <f>IF(Outline!$C$14&gt;0,Gradesheet!AD22,Gradesheet!AK22)</f>
        <v>0</v>
      </c>
      <c r="E24" s="145">
        <f>IF(Outline!$C$14&gt;0,Gradesheet!L22,Gradesheet!AR22)</f>
        <v>0</v>
      </c>
      <c r="F24" s="145">
        <f>IF(Outline!$C$14&gt;0,Gradesheet!AZ22,"NA")</f>
        <v>0</v>
      </c>
      <c r="G24" s="145">
        <f>IF(Outline!$C$14&gt;0,Gradesheet!U22,Gradesheet!AY22)</f>
        <v>0</v>
      </c>
      <c r="H24" s="146">
        <f t="shared" si="0"/>
        <v>0</v>
      </c>
    </row>
    <row r="25" spans="2:8" ht="18" hidden="1" customHeight="1" x14ac:dyDescent="0.25">
      <c r="B25" s="90">
        <f>Gradesheet!A23</f>
        <v>15</v>
      </c>
      <c r="C25" s="91">
        <f>(Gradesheet!B23)</f>
        <v>0</v>
      </c>
      <c r="D25" s="92">
        <f>IF(Outline!$C$14&gt;0,Gradesheet!AD23,Gradesheet!AK23)</f>
        <v>0</v>
      </c>
      <c r="E25" s="145">
        <f>IF(Outline!$C$14&gt;0,Gradesheet!L23,Gradesheet!AR23)</f>
        <v>0</v>
      </c>
      <c r="F25" s="145">
        <f>IF(Outline!$C$14&gt;0,Gradesheet!AZ23,"NA")</f>
        <v>0</v>
      </c>
      <c r="G25" s="145">
        <f>IF(Outline!$C$14&gt;0,Gradesheet!U23,Gradesheet!AY23)</f>
        <v>0</v>
      </c>
      <c r="H25" s="146">
        <f t="shared" si="0"/>
        <v>0</v>
      </c>
    </row>
    <row r="26" spans="2:8" ht="18" hidden="1" customHeight="1" x14ac:dyDescent="0.25">
      <c r="B26" s="90">
        <f>Gradesheet!A24</f>
        <v>16</v>
      </c>
      <c r="C26" s="91">
        <f>(Gradesheet!B24)</f>
        <v>0</v>
      </c>
      <c r="D26" s="92">
        <f>IF(Outline!$C$14&gt;0,Gradesheet!AD24,Gradesheet!AK24)</f>
        <v>0</v>
      </c>
      <c r="E26" s="145">
        <f>IF(Outline!$C$14&gt;0,Gradesheet!L24,Gradesheet!AR24)</f>
        <v>0</v>
      </c>
      <c r="F26" s="145">
        <f>IF(Outline!$C$14&gt;0,Gradesheet!AZ24,"NA")</f>
        <v>0</v>
      </c>
      <c r="G26" s="145">
        <f>IF(Outline!$C$14&gt;0,Gradesheet!U24,Gradesheet!AY24)</f>
        <v>0</v>
      </c>
      <c r="H26" s="146">
        <f t="shared" si="0"/>
        <v>0</v>
      </c>
    </row>
    <row r="27" spans="2:8" ht="18" hidden="1" customHeight="1" x14ac:dyDescent="0.25">
      <c r="B27" s="90">
        <f>Gradesheet!A25</f>
        <v>17</v>
      </c>
      <c r="C27" s="91">
        <f>(Gradesheet!B25)</f>
        <v>0</v>
      </c>
      <c r="D27" s="92">
        <f>IF(Outline!$C$14&gt;0,Gradesheet!AD25,Gradesheet!AK25)</f>
        <v>0</v>
      </c>
      <c r="E27" s="145">
        <f>IF(Outline!$C$14&gt;0,Gradesheet!L25,Gradesheet!AR25)</f>
        <v>0</v>
      </c>
      <c r="F27" s="145">
        <f>IF(Outline!$C$14&gt;0,Gradesheet!AZ25,"NA")</f>
        <v>0</v>
      </c>
      <c r="G27" s="145">
        <f>IF(Outline!$C$14&gt;0,Gradesheet!U25,Gradesheet!AY25)</f>
        <v>0</v>
      </c>
      <c r="H27" s="146">
        <f t="shared" si="0"/>
        <v>0</v>
      </c>
    </row>
    <row r="28" spans="2:8" ht="18" hidden="1" customHeight="1" x14ac:dyDescent="0.25">
      <c r="B28" s="90">
        <f>Gradesheet!A26</f>
        <v>18</v>
      </c>
      <c r="C28" s="91">
        <f>(Gradesheet!B26)</f>
        <v>0</v>
      </c>
      <c r="D28" s="92">
        <f>IF(Outline!$C$14&gt;0,Gradesheet!AD26,Gradesheet!AK26)</f>
        <v>0</v>
      </c>
      <c r="E28" s="145">
        <f>IF(Outline!$C$14&gt;0,Gradesheet!L26,Gradesheet!AR26)</f>
        <v>0</v>
      </c>
      <c r="F28" s="145">
        <f>IF(Outline!$C$14&gt;0,Gradesheet!AZ26,"NA")</f>
        <v>0</v>
      </c>
      <c r="G28" s="145">
        <f>IF(Outline!$C$14&gt;0,Gradesheet!U26,Gradesheet!AY26)</f>
        <v>0</v>
      </c>
      <c r="H28" s="146">
        <f t="shared" si="0"/>
        <v>0</v>
      </c>
    </row>
    <row r="29" spans="2:8" ht="18" hidden="1" customHeight="1" x14ac:dyDescent="0.25">
      <c r="B29" s="90">
        <f>Gradesheet!A27</f>
        <v>19</v>
      </c>
      <c r="C29" s="91">
        <f>(Gradesheet!B27)</f>
        <v>0</v>
      </c>
      <c r="D29" s="92">
        <f>IF(Outline!$C$14&gt;0,Gradesheet!AD27,Gradesheet!AK27)</f>
        <v>0</v>
      </c>
      <c r="E29" s="145">
        <f>IF(Outline!$C$14&gt;0,Gradesheet!L27,Gradesheet!AR27)</f>
        <v>0</v>
      </c>
      <c r="F29" s="145">
        <f>IF(Outline!$C$14&gt;0,Gradesheet!AZ27,"NA")</f>
        <v>0</v>
      </c>
      <c r="G29" s="145">
        <f>IF(Outline!$C$14&gt;0,Gradesheet!U27,Gradesheet!AY27)</f>
        <v>0</v>
      </c>
      <c r="H29" s="146">
        <f t="shared" si="0"/>
        <v>0</v>
      </c>
    </row>
    <row r="30" spans="2:8" ht="18" hidden="1" customHeight="1" x14ac:dyDescent="0.25">
      <c r="B30" s="90">
        <f>Gradesheet!A28</f>
        <v>20</v>
      </c>
      <c r="C30" s="91">
        <f>(Gradesheet!B28)</f>
        <v>0</v>
      </c>
      <c r="D30" s="92">
        <f>IF(Outline!$C$14&gt;0,Gradesheet!AD28,Gradesheet!AK28)</f>
        <v>0</v>
      </c>
      <c r="E30" s="145">
        <f>IF(Outline!$C$14&gt;0,Gradesheet!L28,Gradesheet!AR28)</f>
        <v>0</v>
      </c>
      <c r="F30" s="145">
        <f>IF(Outline!$C$14&gt;0,Gradesheet!AZ28,"NA")</f>
        <v>0</v>
      </c>
      <c r="G30" s="145">
        <f>IF(Outline!$C$14&gt;0,Gradesheet!U28,Gradesheet!AY28)</f>
        <v>0</v>
      </c>
      <c r="H30" s="146">
        <f t="shared" si="0"/>
        <v>0</v>
      </c>
    </row>
    <row r="31" spans="2:8" ht="18" hidden="1" customHeight="1" x14ac:dyDescent="0.25">
      <c r="B31" s="90">
        <f>Gradesheet!A29</f>
        <v>21</v>
      </c>
      <c r="C31" s="91">
        <f>(Gradesheet!B29)</f>
        <v>0</v>
      </c>
      <c r="D31" s="92">
        <f>IF(Outline!$C$14&gt;0,Gradesheet!AD29,Gradesheet!AK29)</f>
        <v>0</v>
      </c>
      <c r="E31" s="145">
        <f>IF(Outline!$C$14&gt;0,Gradesheet!L29,Gradesheet!AR29)</f>
        <v>0</v>
      </c>
      <c r="F31" s="145">
        <f>IF(Outline!$C$14&gt;0,Gradesheet!AZ29,"NA")</f>
        <v>0</v>
      </c>
      <c r="G31" s="145">
        <f>IF(Outline!$C$14&gt;0,Gradesheet!U29,Gradesheet!AY29)</f>
        <v>0</v>
      </c>
      <c r="H31" s="146">
        <f t="shared" si="0"/>
        <v>0</v>
      </c>
    </row>
    <row r="32" spans="2:8" ht="18" hidden="1" customHeight="1" x14ac:dyDescent="0.25">
      <c r="B32" s="90">
        <f>Gradesheet!A30</f>
        <v>22</v>
      </c>
      <c r="C32" s="91">
        <f>(Gradesheet!B30)</f>
        <v>0</v>
      </c>
      <c r="D32" s="92">
        <f>IF(Outline!$C$14&gt;0,Gradesheet!AD30,Gradesheet!AK30)</f>
        <v>0</v>
      </c>
      <c r="E32" s="145">
        <f>IF(Outline!$C$14&gt;0,Gradesheet!L30,Gradesheet!AR30)</f>
        <v>0</v>
      </c>
      <c r="F32" s="145">
        <f>IF(Outline!$C$14&gt;0,Gradesheet!AZ30,"NA")</f>
        <v>0</v>
      </c>
      <c r="G32" s="145">
        <f>IF(Outline!$C$14&gt;0,Gradesheet!U30,Gradesheet!AY30)</f>
        <v>0</v>
      </c>
      <c r="H32" s="146">
        <f t="shared" si="0"/>
        <v>0</v>
      </c>
    </row>
    <row r="33" spans="2:8" ht="18" hidden="1" customHeight="1" x14ac:dyDescent="0.25">
      <c r="B33" s="90">
        <f>Gradesheet!A31</f>
        <v>23</v>
      </c>
      <c r="C33" s="91">
        <f>(Gradesheet!B31)</f>
        <v>0</v>
      </c>
      <c r="D33" s="92">
        <f>IF(Outline!$C$14&gt;0,Gradesheet!AD31,Gradesheet!AK31)</f>
        <v>0</v>
      </c>
      <c r="E33" s="145">
        <f>IF(Outline!$C$14&gt;0,Gradesheet!L31,Gradesheet!AR31)</f>
        <v>0</v>
      </c>
      <c r="F33" s="145">
        <f>IF(Outline!$C$14&gt;0,Gradesheet!AZ31,"NA")</f>
        <v>0</v>
      </c>
      <c r="G33" s="145">
        <f>IF(Outline!$C$14&gt;0,Gradesheet!U31,Gradesheet!AY31)</f>
        <v>0</v>
      </c>
      <c r="H33" s="146">
        <f t="shared" si="0"/>
        <v>0</v>
      </c>
    </row>
    <row r="34" spans="2:8" ht="18" hidden="1" customHeight="1" x14ac:dyDescent="0.25">
      <c r="B34" s="90">
        <f>Gradesheet!A32</f>
        <v>24</v>
      </c>
      <c r="C34" s="91">
        <f>(Gradesheet!B32)</f>
        <v>0</v>
      </c>
      <c r="D34" s="92">
        <f>IF(Outline!$C$14&gt;0,Gradesheet!AD32,Gradesheet!AK32)</f>
        <v>0</v>
      </c>
      <c r="E34" s="145">
        <f>IF(Outline!$C$14&gt;0,Gradesheet!L32,Gradesheet!AR32)</f>
        <v>0</v>
      </c>
      <c r="F34" s="145">
        <f>IF(Outline!$C$14&gt;0,Gradesheet!AZ32,"NA")</f>
        <v>0</v>
      </c>
      <c r="G34" s="145">
        <f>IF(Outline!$C$14&gt;0,Gradesheet!U32,Gradesheet!AY32)</f>
        <v>0</v>
      </c>
      <c r="H34" s="146">
        <f t="shared" si="0"/>
        <v>0</v>
      </c>
    </row>
    <row r="35" spans="2:8" ht="18" hidden="1" customHeight="1" x14ac:dyDescent="0.25">
      <c r="B35" s="90">
        <f>Gradesheet!A33</f>
        <v>25</v>
      </c>
      <c r="C35" s="91">
        <f>(Gradesheet!B33)</f>
        <v>0</v>
      </c>
      <c r="D35" s="92">
        <f>IF(Outline!$C$14&gt;0,Gradesheet!AD33,Gradesheet!AK33)</f>
        <v>0</v>
      </c>
      <c r="E35" s="145">
        <f>IF(Outline!$C$14&gt;0,Gradesheet!L33,Gradesheet!AR33)</f>
        <v>0</v>
      </c>
      <c r="F35" s="145">
        <f>IF(Outline!$C$14&gt;0,Gradesheet!AZ33,"NA")</f>
        <v>0</v>
      </c>
      <c r="G35" s="145">
        <f>IF(Outline!$C$14&gt;0,Gradesheet!U33,Gradesheet!AY33)</f>
        <v>0</v>
      </c>
      <c r="H35" s="146">
        <f t="shared" si="0"/>
        <v>0</v>
      </c>
    </row>
    <row r="36" spans="2:8" ht="18" hidden="1" customHeight="1" x14ac:dyDescent="0.25">
      <c r="B36" s="90">
        <f>Gradesheet!A34</f>
        <v>26</v>
      </c>
      <c r="C36" s="91">
        <f>(Gradesheet!B34)</f>
        <v>0</v>
      </c>
      <c r="D36" s="92">
        <f>IF(Outline!$C$14&gt;0,Gradesheet!AD34,Gradesheet!AK34)</f>
        <v>0</v>
      </c>
      <c r="E36" s="145">
        <f>IF(Outline!$C$14&gt;0,Gradesheet!L34,Gradesheet!AR34)</f>
        <v>0</v>
      </c>
      <c r="F36" s="145">
        <f>IF(Outline!$C$14&gt;0,Gradesheet!AZ34,"NA")</f>
        <v>0</v>
      </c>
      <c r="G36" s="145">
        <f>IF(Outline!$C$14&gt;0,Gradesheet!U34,Gradesheet!AY34)</f>
        <v>0</v>
      </c>
      <c r="H36" s="146">
        <f t="shared" si="0"/>
        <v>0</v>
      </c>
    </row>
    <row r="37" spans="2:8" ht="18" hidden="1" customHeight="1" x14ac:dyDescent="0.25">
      <c r="B37" s="90">
        <f>Gradesheet!A35</f>
        <v>27</v>
      </c>
      <c r="C37" s="91">
        <f>(Gradesheet!B35)</f>
        <v>0</v>
      </c>
      <c r="D37" s="92">
        <f>IF(Outline!$C$14&gt;0,Gradesheet!AD35,Gradesheet!AK35)</f>
        <v>0</v>
      </c>
      <c r="E37" s="145">
        <f>IF(Outline!$C$14&gt;0,Gradesheet!L35,Gradesheet!AR35)</f>
        <v>0</v>
      </c>
      <c r="F37" s="145">
        <f>IF(Outline!$C$14&gt;0,Gradesheet!AZ35,"NA")</f>
        <v>0</v>
      </c>
      <c r="G37" s="145">
        <f>IF(Outline!$C$14&gt;0,Gradesheet!U35,Gradesheet!AY35)</f>
        <v>0</v>
      </c>
      <c r="H37" s="146">
        <f t="shared" si="0"/>
        <v>0</v>
      </c>
    </row>
    <row r="38" spans="2:8" ht="18" hidden="1" customHeight="1" x14ac:dyDescent="0.25">
      <c r="B38" s="90">
        <f>Gradesheet!A36</f>
        <v>28</v>
      </c>
      <c r="C38" s="91">
        <f>(Gradesheet!B36)</f>
        <v>0</v>
      </c>
      <c r="D38" s="92">
        <f>IF(Outline!$C$14&gt;0,Gradesheet!AD36,Gradesheet!AK36)</f>
        <v>0</v>
      </c>
      <c r="E38" s="145">
        <f>IF(Outline!$C$14&gt;0,Gradesheet!L36,Gradesheet!AR36)</f>
        <v>0</v>
      </c>
      <c r="F38" s="145">
        <f>IF(Outline!$C$14&gt;0,Gradesheet!AZ36,"NA")</f>
        <v>0</v>
      </c>
      <c r="G38" s="145">
        <f>IF(Outline!$C$14&gt;0,Gradesheet!U36,Gradesheet!AY36)</f>
        <v>0</v>
      </c>
      <c r="H38" s="146">
        <f t="shared" si="0"/>
        <v>0</v>
      </c>
    </row>
    <row r="39" spans="2:8" ht="18" hidden="1" customHeight="1" x14ac:dyDescent="0.25">
      <c r="B39" s="90">
        <f>Gradesheet!A37</f>
        <v>29</v>
      </c>
      <c r="C39" s="91">
        <f>(Gradesheet!B37)</f>
        <v>0</v>
      </c>
      <c r="D39" s="92">
        <f>IF(Outline!$C$14&gt;0,Gradesheet!AD37,Gradesheet!AK37)</f>
        <v>0</v>
      </c>
      <c r="E39" s="145">
        <f>IF(Outline!$C$14&gt;0,Gradesheet!L37,Gradesheet!AR37)</f>
        <v>0</v>
      </c>
      <c r="F39" s="145">
        <f>IF(Outline!$C$14&gt;0,Gradesheet!AZ37,"NA")</f>
        <v>0</v>
      </c>
      <c r="G39" s="145">
        <f>IF(Outline!$C$14&gt;0,Gradesheet!U37,Gradesheet!AY37)</f>
        <v>0</v>
      </c>
      <c r="H39" s="146">
        <f t="shared" si="0"/>
        <v>0</v>
      </c>
    </row>
    <row r="40" spans="2:8" ht="18" hidden="1" customHeight="1" x14ac:dyDescent="0.25">
      <c r="B40" s="90">
        <f>Gradesheet!A38</f>
        <v>30</v>
      </c>
      <c r="C40" s="91">
        <f>(Gradesheet!B38)</f>
        <v>0</v>
      </c>
      <c r="D40" s="92">
        <f>IF(Outline!$C$14&gt;0,Gradesheet!AD38,Gradesheet!AK38)</f>
        <v>0</v>
      </c>
      <c r="E40" s="145">
        <f>IF(Outline!$C$14&gt;0,Gradesheet!L38,Gradesheet!AR38)</f>
        <v>0</v>
      </c>
      <c r="F40" s="145">
        <f>IF(Outline!$C$14&gt;0,Gradesheet!AZ38,"NA")</f>
        <v>0</v>
      </c>
      <c r="G40" s="145">
        <f>IF(Outline!$C$14&gt;0,Gradesheet!U38,Gradesheet!AY38)</f>
        <v>0</v>
      </c>
      <c r="H40" s="146">
        <f t="shared" si="0"/>
        <v>0</v>
      </c>
    </row>
    <row r="41" spans="2:8" hidden="1" x14ac:dyDescent="0.25">
      <c r="B41" s="90">
        <f>Gradesheet!A39</f>
        <v>31</v>
      </c>
      <c r="C41" s="91">
        <f>(Gradesheet!B39)</f>
        <v>0</v>
      </c>
      <c r="D41" s="92">
        <f>IF(Outline!$C$14&gt;0,Gradesheet!AD39,Gradesheet!AK39)</f>
        <v>0</v>
      </c>
      <c r="E41" s="145">
        <f>IF(Outline!$C$14&gt;0,Gradesheet!L39,Gradesheet!AR39)</f>
        <v>0</v>
      </c>
      <c r="F41" s="145">
        <f>IF(Outline!$C$14&gt;0,Gradesheet!AZ39,"NA")</f>
        <v>0</v>
      </c>
      <c r="G41" s="145">
        <f>IF(Outline!$C$14&gt;0,Gradesheet!U39,Gradesheet!AY39)</f>
        <v>0</v>
      </c>
      <c r="H41" s="146">
        <f t="shared" si="0"/>
        <v>0</v>
      </c>
    </row>
    <row r="42" spans="2:8" hidden="1" x14ac:dyDescent="0.25">
      <c r="B42" s="90">
        <f>Gradesheet!A40</f>
        <v>32</v>
      </c>
      <c r="C42" s="91">
        <f>(Gradesheet!B40)</f>
        <v>0</v>
      </c>
      <c r="D42" s="92">
        <f>IF(Outline!$C$14&gt;0,Gradesheet!AD40,Gradesheet!AK40)</f>
        <v>0</v>
      </c>
      <c r="E42" s="145">
        <f>IF(Outline!$C$14&gt;0,Gradesheet!L40,Gradesheet!AR40)</f>
        <v>0</v>
      </c>
      <c r="F42" s="145">
        <f>IF(Outline!$C$14&gt;0,Gradesheet!AZ40,"NA")</f>
        <v>0</v>
      </c>
      <c r="G42" s="145">
        <f>IF(Outline!$C$14&gt;0,Gradesheet!U40,Gradesheet!AY40)</f>
        <v>0</v>
      </c>
      <c r="H42" s="146">
        <f t="shared" si="0"/>
        <v>0</v>
      </c>
    </row>
    <row r="43" spans="2:8" hidden="1" x14ac:dyDescent="0.25">
      <c r="B43" s="90">
        <f>Gradesheet!A41</f>
        <v>33</v>
      </c>
      <c r="C43" s="91">
        <f>(Gradesheet!B41)</f>
        <v>0</v>
      </c>
      <c r="D43" s="92">
        <f>IF(Outline!$C$14&gt;0,Gradesheet!AD41,Gradesheet!AK41)</f>
        <v>0</v>
      </c>
      <c r="E43" s="145">
        <f>IF(Outline!$C$14&gt;0,Gradesheet!L41,Gradesheet!AR41)</f>
        <v>0</v>
      </c>
      <c r="F43" s="145">
        <f>IF(Outline!$C$14&gt;0,Gradesheet!AZ41,"NA")</f>
        <v>0</v>
      </c>
      <c r="G43" s="145">
        <f>IF(Outline!$C$14&gt;0,Gradesheet!U41,Gradesheet!AY41)</f>
        <v>0</v>
      </c>
      <c r="H43" s="146">
        <f t="shared" si="0"/>
        <v>0</v>
      </c>
    </row>
    <row r="44" spans="2:8" hidden="1" x14ac:dyDescent="0.25">
      <c r="B44" s="90">
        <f>Gradesheet!A42</f>
        <v>34</v>
      </c>
      <c r="C44" s="91">
        <f>(Gradesheet!B42)</f>
        <v>0</v>
      </c>
      <c r="D44" s="92">
        <f>IF(Outline!$C$14&gt;0,Gradesheet!AD42,Gradesheet!AK42)</f>
        <v>0</v>
      </c>
      <c r="E44" s="145">
        <f>IF(Outline!$C$14&gt;0,Gradesheet!L42,Gradesheet!AR42)</f>
        <v>0</v>
      </c>
      <c r="F44" s="145">
        <f>IF(Outline!$C$14&gt;0,Gradesheet!AZ42,"NA")</f>
        <v>0</v>
      </c>
      <c r="G44" s="145">
        <f>IF(Outline!$C$14&gt;0,Gradesheet!U42,Gradesheet!AY42)</f>
        <v>0</v>
      </c>
      <c r="H44" s="146">
        <f t="shared" si="0"/>
        <v>0</v>
      </c>
    </row>
    <row r="45" spans="2:8" hidden="1" x14ac:dyDescent="0.25">
      <c r="B45" s="90">
        <f>Gradesheet!A43</f>
        <v>35</v>
      </c>
      <c r="C45" s="91">
        <f>(Gradesheet!B43)</f>
        <v>0</v>
      </c>
      <c r="D45" s="92">
        <f>IF(Outline!$C$14&gt;0,Gradesheet!AD43,Gradesheet!AK43)</f>
        <v>0</v>
      </c>
      <c r="E45" s="145">
        <f>IF(Outline!$C$14&gt;0,Gradesheet!L43,Gradesheet!AR43)</f>
        <v>0</v>
      </c>
      <c r="F45" s="145">
        <f>IF(Outline!$C$14&gt;0,Gradesheet!AZ43,"NA")</f>
        <v>0</v>
      </c>
      <c r="G45" s="145">
        <f>IF(Outline!$C$14&gt;0,Gradesheet!U43,Gradesheet!AY43)</f>
        <v>0</v>
      </c>
      <c r="H45" s="146">
        <f t="shared" si="0"/>
        <v>0</v>
      </c>
    </row>
    <row r="46" spans="2:8" hidden="1" x14ac:dyDescent="0.25">
      <c r="B46" s="90">
        <f>Gradesheet!A44</f>
        <v>36</v>
      </c>
      <c r="C46" s="91">
        <f>(Gradesheet!B44)</f>
        <v>0</v>
      </c>
      <c r="D46" s="92">
        <f>IF(Outline!$C$14&gt;0,Gradesheet!AD44,Gradesheet!AK44)</f>
        <v>0</v>
      </c>
      <c r="E46" s="145">
        <f>IF(Outline!$C$14&gt;0,Gradesheet!L44,Gradesheet!AR44)</f>
        <v>0</v>
      </c>
      <c r="F46" s="145">
        <f>IF(Outline!$C$14&gt;0,Gradesheet!AZ44,"NA")</f>
        <v>0</v>
      </c>
      <c r="G46" s="145">
        <f>IF(Outline!$C$14&gt;0,Gradesheet!U44,Gradesheet!AY44)</f>
        <v>0</v>
      </c>
      <c r="H46" s="146">
        <f t="shared" si="0"/>
        <v>0</v>
      </c>
    </row>
    <row r="47" spans="2:8" hidden="1" x14ac:dyDescent="0.25">
      <c r="B47" s="90">
        <f>Gradesheet!A45</f>
        <v>37</v>
      </c>
      <c r="C47" s="91">
        <f>(Gradesheet!B45)</f>
        <v>0</v>
      </c>
      <c r="D47" s="92">
        <f>IF(Outline!$C$14&gt;0,Gradesheet!AD45,Gradesheet!AK45)</f>
        <v>0</v>
      </c>
      <c r="E47" s="145">
        <f>IF(Outline!$C$14&gt;0,Gradesheet!L45,Gradesheet!AR45)</f>
        <v>0</v>
      </c>
      <c r="F47" s="145">
        <f>IF(Outline!$C$14&gt;0,Gradesheet!AZ45,"NA")</f>
        <v>0</v>
      </c>
      <c r="G47" s="145">
        <f>IF(Outline!$C$14&gt;0,Gradesheet!U45,Gradesheet!AY45)</f>
        <v>0</v>
      </c>
      <c r="H47" s="146">
        <f t="shared" si="0"/>
        <v>0</v>
      </c>
    </row>
    <row r="48" spans="2:8" hidden="1" x14ac:dyDescent="0.25">
      <c r="B48" s="90">
        <f>Gradesheet!A46</f>
        <v>38</v>
      </c>
      <c r="C48" s="91">
        <f>(Gradesheet!B46)</f>
        <v>0</v>
      </c>
      <c r="D48" s="92">
        <f>IF(Outline!$C$14&gt;0,Gradesheet!AD46,Gradesheet!AK46)</f>
        <v>0</v>
      </c>
      <c r="E48" s="145">
        <f>IF(Outline!$C$14&gt;0,Gradesheet!L46,Gradesheet!AR46)</f>
        <v>0</v>
      </c>
      <c r="F48" s="145">
        <f>IF(Outline!$C$14&gt;0,Gradesheet!AZ46,"NA")</f>
        <v>0</v>
      </c>
      <c r="G48" s="145">
        <f>IF(Outline!$C$14&gt;0,Gradesheet!U46,Gradesheet!AY46)</f>
        <v>0</v>
      </c>
      <c r="H48" s="146">
        <f t="shared" si="0"/>
        <v>0</v>
      </c>
    </row>
    <row r="49" spans="2:8" hidden="1" x14ac:dyDescent="0.25">
      <c r="B49" s="90">
        <f>Gradesheet!A47</f>
        <v>39</v>
      </c>
      <c r="C49" s="91">
        <f>(Gradesheet!B47)</f>
        <v>0</v>
      </c>
      <c r="D49" s="92">
        <f>IF(Outline!$C$14&gt;0,Gradesheet!AD47,Gradesheet!AK47)</f>
        <v>0</v>
      </c>
      <c r="E49" s="145">
        <f>IF(Outline!$C$14&gt;0,Gradesheet!L47,Gradesheet!AR47)</f>
        <v>0</v>
      </c>
      <c r="F49" s="145">
        <f>IF(Outline!$C$14&gt;0,Gradesheet!AZ47,"NA")</f>
        <v>0</v>
      </c>
      <c r="G49" s="145">
        <f>IF(Outline!$C$14&gt;0,Gradesheet!U47,Gradesheet!AY47)</f>
        <v>0</v>
      </c>
      <c r="H49" s="146">
        <f t="shared" si="0"/>
        <v>0</v>
      </c>
    </row>
    <row r="50" spans="2:8" hidden="1" x14ac:dyDescent="0.25">
      <c r="B50" s="90">
        <f>Gradesheet!A48</f>
        <v>40</v>
      </c>
      <c r="C50" s="91">
        <f>(Gradesheet!B48)</f>
        <v>0</v>
      </c>
      <c r="D50" s="92">
        <f>IF(Outline!$C$14&gt;0,Gradesheet!AD48,Gradesheet!AK48)</f>
        <v>0</v>
      </c>
      <c r="E50" s="145">
        <f>IF(Outline!$C$14&gt;0,Gradesheet!L48,Gradesheet!AR48)</f>
        <v>0</v>
      </c>
      <c r="F50" s="145">
        <f>IF(Outline!$C$14&gt;0,Gradesheet!AZ48,"NA")</f>
        <v>0</v>
      </c>
      <c r="G50" s="145">
        <f>IF(Outline!$C$14&gt;0,Gradesheet!U48,Gradesheet!AY48)</f>
        <v>0</v>
      </c>
      <c r="H50" s="146">
        <f t="shared" si="0"/>
        <v>0</v>
      </c>
    </row>
    <row r="51" spans="2:8" hidden="1" x14ac:dyDescent="0.25">
      <c r="B51" s="90">
        <f>Gradesheet!A49</f>
        <v>41</v>
      </c>
      <c r="C51" s="91">
        <f>(Gradesheet!B49)</f>
        <v>0</v>
      </c>
      <c r="D51" s="92">
        <f>IF(Outline!$C$14&gt;0,Gradesheet!AD49,Gradesheet!AK49)</f>
        <v>0</v>
      </c>
      <c r="E51" s="145">
        <f>IF(Outline!$C$14&gt;0,Gradesheet!L49,Gradesheet!AR49)</f>
        <v>0</v>
      </c>
      <c r="F51" s="145">
        <f>IF(Outline!$C$14&gt;0,Gradesheet!AZ49,"NA")</f>
        <v>0</v>
      </c>
      <c r="G51" s="145">
        <f>IF(Outline!$C$14&gt;0,Gradesheet!U49,Gradesheet!AY49)</f>
        <v>0</v>
      </c>
      <c r="H51" s="146">
        <f t="shared" si="0"/>
        <v>0</v>
      </c>
    </row>
    <row r="52" spans="2:8" hidden="1" x14ac:dyDescent="0.25">
      <c r="B52" s="90">
        <f>Gradesheet!A50</f>
        <v>42</v>
      </c>
      <c r="C52" s="91">
        <f>(Gradesheet!B50)</f>
        <v>0</v>
      </c>
      <c r="D52" s="92">
        <f>IF(Outline!$C$14&gt;0,Gradesheet!AD50,Gradesheet!AK50)</f>
        <v>0</v>
      </c>
      <c r="E52" s="145">
        <f>IF(Outline!$C$14&gt;0,Gradesheet!L50,Gradesheet!AR50)</f>
        <v>0</v>
      </c>
      <c r="F52" s="145">
        <f>IF(Outline!$C$14&gt;0,Gradesheet!AZ50,"NA")</f>
        <v>0</v>
      </c>
      <c r="G52" s="145">
        <f>IF(Outline!$C$14&gt;0,Gradesheet!U50,Gradesheet!AY50)</f>
        <v>0</v>
      </c>
      <c r="H52" s="146">
        <f t="shared" si="0"/>
        <v>0</v>
      </c>
    </row>
    <row r="53" spans="2:8" hidden="1" x14ac:dyDescent="0.25">
      <c r="B53" s="90">
        <f>Gradesheet!A51</f>
        <v>0</v>
      </c>
      <c r="C53" s="91">
        <f>(Gradesheet!B51)</f>
        <v>0</v>
      </c>
      <c r="D53" s="92">
        <f>IF(Outline!$C$14&gt;0,Gradesheet!AD51,Gradesheet!AK51)</f>
        <v>0</v>
      </c>
      <c r="E53" s="145">
        <f>IF(Outline!$C$14&gt;0,Gradesheet!L51,Gradesheet!AR51)</f>
        <v>0</v>
      </c>
      <c r="F53" s="145">
        <f>IF(Outline!$C$14&gt;0,Gradesheet!AZ51,"NA")</f>
        <v>0</v>
      </c>
      <c r="G53" s="145">
        <f>IF(Outline!$C$14&gt;0,Gradesheet!U51,Gradesheet!AY51)</f>
        <v>0</v>
      </c>
      <c r="H53" s="146">
        <f t="shared" si="0"/>
        <v>0</v>
      </c>
    </row>
    <row r="54" spans="2:8" hidden="1" x14ac:dyDescent="0.25">
      <c r="B54" s="90">
        <f>Gradesheet!A52</f>
        <v>1</v>
      </c>
      <c r="C54" s="91">
        <f>(Gradesheet!B52)</f>
        <v>0</v>
      </c>
      <c r="D54" s="92">
        <f>IF(Outline!$C$14&gt;0,Gradesheet!AD52,Gradesheet!AK52)</f>
        <v>0</v>
      </c>
      <c r="E54" s="145">
        <f>IF(Outline!$C$14&gt;0,Gradesheet!L52,Gradesheet!AR52)</f>
        <v>0</v>
      </c>
      <c r="F54" s="145">
        <f>IF(Outline!$C$14&gt;0,Gradesheet!AZ52,"NA")</f>
        <v>0</v>
      </c>
      <c r="G54" s="145">
        <f>IF(Outline!$C$14&gt;0,Gradesheet!U52,Gradesheet!AY52)</f>
        <v>0</v>
      </c>
      <c r="H54" s="146">
        <f t="shared" si="0"/>
        <v>0</v>
      </c>
    </row>
    <row r="55" spans="2:8" hidden="1" x14ac:dyDescent="0.25">
      <c r="B55" s="90">
        <f>Gradesheet!A53</f>
        <v>2</v>
      </c>
      <c r="C55" s="91">
        <f>(Gradesheet!B53)</f>
        <v>0</v>
      </c>
      <c r="D55" s="92">
        <f>IF(Outline!$C$14&gt;0,Gradesheet!AD53,Gradesheet!AK53)</f>
        <v>0</v>
      </c>
      <c r="E55" s="145">
        <f>IF(Outline!$C$14&gt;0,Gradesheet!L53,Gradesheet!AR53)</f>
        <v>0</v>
      </c>
      <c r="F55" s="145">
        <f>IF(Outline!$C$14&gt;0,Gradesheet!AZ53,"NA")</f>
        <v>0</v>
      </c>
      <c r="G55" s="145">
        <f>IF(Outline!$C$14&gt;0,Gradesheet!U53,Gradesheet!AY53)</f>
        <v>0</v>
      </c>
      <c r="H55" s="146">
        <f t="shared" si="0"/>
        <v>0</v>
      </c>
    </row>
    <row r="56" spans="2:8" hidden="1" x14ac:dyDescent="0.25">
      <c r="B56" s="90">
        <f>Gradesheet!A54</f>
        <v>3</v>
      </c>
      <c r="C56" s="91">
        <f>(Gradesheet!B54)</f>
        <v>0</v>
      </c>
      <c r="D56" s="92">
        <f>IF(Outline!$C$14&gt;0,Gradesheet!AD54,Gradesheet!AK54)</f>
        <v>0</v>
      </c>
      <c r="E56" s="145">
        <f>IF(Outline!$C$14&gt;0,Gradesheet!L54,Gradesheet!AR54)</f>
        <v>0</v>
      </c>
      <c r="F56" s="145">
        <f>IF(Outline!$C$14&gt;0,Gradesheet!AZ54,"NA")</f>
        <v>0</v>
      </c>
      <c r="G56" s="145">
        <f>IF(Outline!$C$14&gt;0,Gradesheet!U54,Gradesheet!AY54)</f>
        <v>0</v>
      </c>
      <c r="H56" s="146">
        <f t="shared" si="0"/>
        <v>0</v>
      </c>
    </row>
    <row r="57" spans="2:8" hidden="1" x14ac:dyDescent="0.25">
      <c r="B57" s="90">
        <f>Gradesheet!A55</f>
        <v>4</v>
      </c>
      <c r="C57" s="91">
        <f>(Gradesheet!B55)</f>
        <v>0</v>
      </c>
      <c r="D57" s="92">
        <f>IF(Outline!$C$14&gt;0,Gradesheet!AD55,Gradesheet!AK55)</f>
        <v>0</v>
      </c>
      <c r="E57" s="145">
        <f>IF(Outline!$C$14&gt;0,Gradesheet!L55,Gradesheet!AR55)</f>
        <v>0</v>
      </c>
      <c r="F57" s="145">
        <f>IF(Outline!$C$14&gt;0,Gradesheet!AZ55,"NA")</f>
        <v>0</v>
      </c>
      <c r="G57" s="145">
        <f>IF(Outline!$C$14&gt;0,Gradesheet!U55,Gradesheet!AY55)</f>
        <v>0</v>
      </c>
      <c r="H57" s="146">
        <f t="shared" si="0"/>
        <v>0</v>
      </c>
    </row>
    <row r="58" spans="2:8" hidden="1" x14ac:dyDescent="0.25">
      <c r="B58" s="90">
        <f>Gradesheet!A56</f>
        <v>5</v>
      </c>
      <c r="C58" s="91">
        <f>(Gradesheet!B56)</f>
        <v>0</v>
      </c>
      <c r="D58" s="92">
        <f>IF(Outline!$C$14&gt;0,Gradesheet!AD56,Gradesheet!AK56)</f>
        <v>0</v>
      </c>
      <c r="E58" s="145">
        <f>IF(Outline!$C$14&gt;0,Gradesheet!L56,Gradesheet!AR56)</f>
        <v>0</v>
      </c>
      <c r="F58" s="145">
        <f>IF(Outline!$C$14&gt;0,Gradesheet!AZ56,"NA")</f>
        <v>0</v>
      </c>
      <c r="G58" s="145">
        <f>IF(Outline!$C$14&gt;0,Gradesheet!U56,Gradesheet!AY56)</f>
        <v>0</v>
      </c>
      <c r="H58" s="146">
        <f t="shared" si="0"/>
        <v>0</v>
      </c>
    </row>
    <row r="59" spans="2:8" hidden="1" x14ac:dyDescent="0.25">
      <c r="B59" s="90">
        <f>Gradesheet!A57</f>
        <v>6</v>
      </c>
      <c r="C59" s="91">
        <f>(Gradesheet!B57)</f>
        <v>0</v>
      </c>
      <c r="D59" s="92">
        <f>IF(Outline!$C$14&gt;0,Gradesheet!AD57,Gradesheet!AK57)</f>
        <v>0</v>
      </c>
      <c r="E59" s="145">
        <f>IF(Outline!$C$14&gt;0,Gradesheet!L57,Gradesheet!AR57)</f>
        <v>0</v>
      </c>
      <c r="F59" s="145">
        <f>IF(Outline!$C$14&gt;0,Gradesheet!AZ57,"NA")</f>
        <v>0</v>
      </c>
      <c r="G59" s="145">
        <f>IF(Outline!$C$14&gt;0,Gradesheet!U57,Gradesheet!AY57)</f>
        <v>0</v>
      </c>
      <c r="H59" s="146">
        <f t="shared" si="0"/>
        <v>0</v>
      </c>
    </row>
    <row r="60" spans="2:8" hidden="1" x14ac:dyDescent="0.25">
      <c r="B60" s="90">
        <f>Gradesheet!A58</f>
        <v>7</v>
      </c>
      <c r="C60" s="91">
        <f>(Gradesheet!B58)</f>
        <v>0</v>
      </c>
      <c r="D60" s="92">
        <f>IF(Outline!$C$14&gt;0,Gradesheet!AD58,Gradesheet!AK58)</f>
        <v>0</v>
      </c>
      <c r="E60" s="145">
        <f>IF(Outline!$C$14&gt;0,Gradesheet!L58,Gradesheet!AR58)</f>
        <v>0</v>
      </c>
      <c r="F60" s="145">
        <f>IF(Outline!$C$14&gt;0,Gradesheet!AZ58,"NA")</f>
        <v>0</v>
      </c>
      <c r="G60" s="145">
        <f>IF(Outline!$C$14&gt;0,Gradesheet!U58,Gradesheet!AY58)</f>
        <v>0</v>
      </c>
      <c r="H60" s="146">
        <f t="shared" si="0"/>
        <v>0</v>
      </c>
    </row>
    <row r="61" spans="2:8" hidden="1" x14ac:dyDescent="0.25">
      <c r="B61" s="90">
        <f>Gradesheet!A59</f>
        <v>8</v>
      </c>
      <c r="C61" s="91">
        <f>(Gradesheet!B59)</f>
        <v>0</v>
      </c>
      <c r="D61" s="92">
        <f>IF(Outline!$C$14&gt;0,Gradesheet!AD59,Gradesheet!AK59)</f>
        <v>0</v>
      </c>
      <c r="E61" s="145">
        <f>IF(Outline!$C$14&gt;0,Gradesheet!L59,Gradesheet!AR59)</f>
        <v>0</v>
      </c>
      <c r="F61" s="145">
        <f>IF(Outline!$C$14&gt;0,Gradesheet!AZ59,"NA")</f>
        <v>0</v>
      </c>
      <c r="G61" s="145">
        <f>IF(Outline!$C$14&gt;0,Gradesheet!U59,Gradesheet!AY59)</f>
        <v>0</v>
      </c>
      <c r="H61" s="146">
        <f t="shared" si="0"/>
        <v>0</v>
      </c>
    </row>
    <row r="62" spans="2:8" hidden="1" x14ac:dyDescent="0.25">
      <c r="B62" s="90">
        <f>Gradesheet!A60</f>
        <v>9</v>
      </c>
      <c r="C62" s="91">
        <f>(Gradesheet!B60)</f>
        <v>0</v>
      </c>
      <c r="D62" s="92">
        <f>IF(Outline!$C$14&gt;0,Gradesheet!AD60,Gradesheet!AK60)</f>
        <v>0</v>
      </c>
      <c r="E62" s="145">
        <f>IF(Outline!$C$14&gt;0,Gradesheet!L60,Gradesheet!AR60)</f>
        <v>0</v>
      </c>
      <c r="F62" s="145">
        <f>IF(Outline!$C$14&gt;0,Gradesheet!AZ60,"NA")</f>
        <v>0</v>
      </c>
      <c r="G62" s="145">
        <f>IF(Outline!$C$14&gt;0,Gradesheet!U60,Gradesheet!AY60)</f>
        <v>0</v>
      </c>
      <c r="H62" s="146">
        <f t="shared" si="0"/>
        <v>0</v>
      </c>
    </row>
    <row r="63" spans="2:8" hidden="1" x14ac:dyDescent="0.25">
      <c r="B63" s="90">
        <f>Gradesheet!A61</f>
        <v>10</v>
      </c>
      <c r="C63" s="91">
        <f>(Gradesheet!B61)</f>
        <v>0</v>
      </c>
      <c r="D63" s="92">
        <f>IF(Outline!$C$14&gt;0,Gradesheet!AD61,Gradesheet!AK61)</f>
        <v>0</v>
      </c>
      <c r="E63" s="145">
        <f>IF(Outline!$C$14&gt;0,Gradesheet!L61,Gradesheet!AR61)</f>
        <v>0</v>
      </c>
      <c r="F63" s="145">
        <f>IF(Outline!$C$14&gt;0,Gradesheet!AZ61,"NA")</f>
        <v>0</v>
      </c>
      <c r="G63" s="145">
        <f>IF(Outline!$C$14&gt;0,Gradesheet!U61,Gradesheet!AY61)</f>
        <v>0</v>
      </c>
      <c r="H63" s="146">
        <f t="shared" si="0"/>
        <v>0</v>
      </c>
    </row>
    <row r="64" spans="2:8" hidden="1" x14ac:dyDescent="0.25">
      <c r="B64" s="90">
        <f>Gradesheet!A62</f>
        <v>11</v>
      </c>
      <c r="C64" s="91">
        <f>(Gradesheet!B62)</f>
        <v>0</v>
      </c>
      <c r="D64" s="92">
        <f>IF(Outline!$C$14&gt;0,Gradesheet!AD62,Gradesheet!AK62)</f>
        <v>0</v>
      </c>
      <c r="E64" s="145">
        <f>IF(Outline!$C$14&gt;0,Gradesheet!L62,Gradesheet!AR62)</f>
        <v>0</v>
      </c>
      <c r="F64" s="145">
        <f>IF(Outline!$C$14&gt;0,Gradesheet!AZ62,"NA")</f>
        <v>0</v>
      </c>
      <c r="G64" s="145">
        <f>IF(Outline!$C$14&gt;0,Gradesheet!U62,Gradesheet!AY62)</f>
        <v>0</v>
      </c>
      <c r="H64" s="146">
        <f t="shared" si="0"/>
        <v>0</v>
      </c>
    </row>
    <row r="65" spans="2:8" hidden="1" x14ac:dyDescent="0.25">
      <c r="B65" s="90">
        <f>Gradesheet!A63</f>
        <v>12</v>
      </c>
      <c r="C65" s="91">
        <f>(Gradesheet!B63)</f>
        <v>0</v>
      </c>
      <c r="D65" s="92">
        <f>IF(Outline!$C$14&gt;0,Gradesheet!AD63,Gradesheet!AK63)</f>
        <v>0</v>
      </c>
      <c r="E65" s="145">
        <f>IF(Outline!$C$14&gt;0,Gradesheet!L63,Gradesheet!AR63)</f>
        <v>0</v>
      </c>
      <c r="F65" s="145">
        <f>IF(Outline!$C$14&gt;0,Gradesheet!AZ63,"NA")</f>
        <v>0</v>
      </c>
      <c r="G65" s="145">
        <f>IF(Outline!$C$14&gt;0,Gradesheet!U63,Gradesheet!AY63)</f>
        <v>0</v>
      </c>
      <c r="H65" s="146">
        <f t="shared" si="0"/>
        <v>0</v>
      </c>
    </row>
    <row r="66" spans="2:8" hidden="1" x14ac:dyDescent="0.25">
      <c r="B66" s="90">
        <f>Gradesheet!A64</f>
        <v>13</v>
      </c>
      <c r="C66" s="91">
        <f>(Gradesheet!B64)</f>
        <v>0</v>
      </c>
      <c r="D66" s="92">
        <f>IF(Outline!$C$14&gt;0,Gradesheet!AD64,Gradesheet!AK64)</f>
        <v>0</v>
      </c>
      <c r="E66" s="145">
        <f>IF(Outline!$C$14&gt;0,Gradesheet!L64,Gradesheet!AR64)</f>
        <v>0</v>
      </c>
      <c r="F66" s="145">
        <f>IF(Outline!$C$14&gt;0,Gradesheet!AZ64,"NA")</f>
        <v>0</v>
      </c>
      <c r="G66" s="145">
        <f>IF(Outline!$C$14&gt;0,Gradesheet!U64,Gradesheet!AY64)</f>
        <v>0</v>
      </c>
      <c r="H66" s="146">
        <f t="shared" si="0"/>
        <v>0</v>
      </c>
    </row>
    <row r="67" spans="2:8" hidden="1" x14ac:dyDescent="0.25">
      <c r="B67" s="90">
        <f>Gradesheet!A65</f>
        <v>14</v>
      </c>
      <c r="C67" s="91">
        <f>(Gradesheet!B65)</f>
        <v>0</v>
      </c>
      <c r="D67" s="92">
        <f>IF(Outline!$C$14&gt;0,Gradesheet!AD65,Gradesheet!AK65)</f>
        <v>0</v>
      </c>
      <c r="E67" s="145">
        <f>IF(Outline!$C$14&gt;0,Gradesheet!L65,Gradesheet!AR65)</f>
        <v>0</v>
      </c>
      <c r="F67" s="145">
        <f>IF(Outline!$C$14&gt;0,Gradesheet!AZ65,"NA")</f>
        <v>0</v>
      </c>
      <c r="G67" s="145">
        <f>IF(Outline!$C$14&gt;0,Gradesheet!U65,Gradesheet!AY65)</f>
        <v>0</v>
      </c>
      <c r="H67" s="146">
        <f t="shared" si="0"/>
        <v>0</v>
      </c>
    </row>
    <row r="68" spans="2:8" hidden="1" x14ac:dyDescent="0.25">
      <c r="B68" s="90">
        <f>Gradesheet!A66</f>
        <v>15</v>
      </c>
      <c r="C68" s="91">
        <f>(Gradesheet!B66)</f>
        <v>0</v>
      </c>
      <c r="D68" s="92">
        <f>IF(Outline!$C$14&gt;0,Gradesheet!AD66,Gradesheet!AK66)</f>
        <v>0</v>
      </c>
      <c r="E68" s="145">
        <f>IF(Outline!$C$14&gt;0,Gradesheet!L66,Gradesheet!AR66)</f>
        <v>0</v>
      </c>
      <c r="F68" s="145">
        <f>IF(Outline!$C$14&gt;0,Gradesheet!AZ66,"NA")</f>
        <v>0</v>
      </c>
      <c r="G68" s="145">
        <f>IF(Outline!$C$14&gt;0,Gradesheet!U66,Gradesheet!AY66)</f>
        <v>0</v>
      </c>
      <c r="H68" s="146">
        <f t="shared" si="0"/>
        <v>0</v>
      </c>
    </row>
    <row r="69" spans="2:8" hidden="1" x14ac:dyDescent="0.25">
      <c r="B69" s="90">
        <f>Gradesheet!A67</f>
        <v>16</v>
      </c>
      <c r="C69" s="91">
        <f>(Gradesheet!B67)</f>
        <v>0</v>
      </c>
      <c r="D69" s="92">
        <f>IF(Outline!$C$14&gt;0,Gradesheet!AD67,Gradesheet!AK67)</f>
        <v>0</v>
      </c>
      <c r="E69" s="145">
        <f>IF(Outline!$C$14&gt;0,Gradesheet!L67,Gradesheet!AR67)</f>
        <v>0</v>
      </c>
      <c r="F69" s="145">
        <f>IF(Outline!$C$14&gt;0,Gradesheet!AZ67,"NA")</f>
        <v>0</v>
      </c>
      <c r="G69" s="145">
        <f>IF(Outline!$C$14&gt;0,Gradesheet!U67,Gradesheet!AY67)</f>
        <v>0</v>
      </c>
      <c r="H69" s="146">
        <f t="shared" si="0"/>
        <v>0</v>
      </c>
    </row>
    <row r="70" spans="2:8" hidden="1" x14ac:dyDescent="0.25">
      <c r="B70" s="90">
        <f>Gradesheet!A68</f>
        <v>17</v>
      </c>
      <c r="C70" s="91">
        <f>(Gradesheet!B68)</f>
        <v>0</v>
      </c>
      <c r="D70" s="92">
        <f>IF(Outline!$C$14&gt;0,Gradesheet!AD68,Gradesheet!AK68)</f>
        <v>0</v>
      </c>
      <c r="E70" s="145">
        <f>IF(Outline!$C$14&gt;0,Gradesheet!L68,Gradesheet!AR68)</f>
        <v>0</v>
      </c>
      <c r="F70" s="145">
        <f>IF(Outline!$C$14&gt;0,Gradesheet!AZ68,"NA")</f>
        <v>0</v>
      </c>
      <c r="G70" s="145">
        <f>IF(Outline!$C$14&gt;0,Gradesheet!U68,Gradesheet!AY68)</f>
        <v>0</v>
      </c>
      <c r="H70" s="146">
        <f t="shared" si="0"/>
        <v>0</v>
      </c>
    </row>
    <row r="71" spans="2:8" hidden="1" x14ac:dyDescent="0.25">
      <c r="B71" s="90">
        <f>Gradesheet!A69</f>
        <v>18</v>
      </c>
      <c r="C71" s="91">
        <f>(Gradesheet!B69)</f>
        <v>0</v>
      </c>
      <c r="D71" s="92">
        <f>IF(Outline!$C$14&gt;0,Gradesheet!AD69,Gradesheet!AK69)</f>
        <v>0</v>
      </c>
      <c r="E71" s="145">
        <f>IF(Outline!$C$14&gt;0,Gradesheet!L69,Gradesheet!AR69)</f>
        <v>0</v>
      </c>
      <c r="F71" s="145">
        <f>IF(Outline!$C$14&gt;0,Gradesheet!AZ69,"NA")</f>
        <v>0</v>
      </c>
      <c r="G71" s="145">
        <f>IF(Outline!$C$14&gt;0,Gradesheet!U69,Gradesheet!AY69)</f>
        <v>0</v>
      </c>
      <c r="H71" s="146">
        <f t="shared" si="0"/>
        <v>0</v>
      </c>
    </row>
    <row r="72" spans="2:8" hidden="1" x14ac:dyDescent="0.25">
      <c r="B72" s="90">
        <f>Gradesheet!A70</f>
        <v>19</v>
      </c>
      <c r="C72" s="91">
        <f>(Gradesheet!B70)</f>
        <v>0</v>
      </c>
      <c r="D72" s="92">
        <f>IF(Outline!$C$14&gt;0,Gradesheet!AD70,Gradesheet!AK70)</f>
        <v>0</v>
      </c>
      <c r="E72" s="145">
        <f>IF(Outline!$C$14&gt;0,Gradesheet!L70,Gradesheet!AR70)</f>
        <v>0</v>
      </c>
      <c r="F72" s="145">
        <f>IF(Outline!$C$14&gt;0,Gradesheet!AZ70,"NA")</f>
        <v>0</v>
      </c>
      <c r="G72" s="145">
        <f>IF(Outline!$C$14&gt;0,Gradesheet!U70,Gradesheet!AY70)</f>
        <v>0</v>
      </c>
      <c r="H72" s="146">
        <f t="shared" si="0"/>
        <v>0</v>
      </c>
    </row>
    <row r="73" spans="2:8" hidden="1" x14ac:dyDescent="0.25">
      <c r="B73" s="90">
        <f>Gradesheet!A71</f>
        <v>20</v>
      </c>
      <c r="C73" s="91">
        <f>(Gradesheet!B71)</f>
        <v>0</v>
      </c>
      <c r="D73" s="92">
        <f>IF(Outline!$C$14&gt;0,Gradesheet!AD71,Gradesheet!AK71)</f>
        <v>0</v>
      </c>
      <c r="E73" s="145">
        <f>IF(Outline!$C$14&gt;0,Gradesheet!L71,Gradesheet!AR71)</f>
        <v>0</v>
      </c>
      <c r="F73" s="145">
        <f>IF(Outline!$C$14&gt;0,Gradesheet!AZ71,"NA")</f>
        <v>0</v>
      </c>
      <c r="G73" s="145">
        <f>IF(Outline!$C$14&gt;0,Gradesheet!U71,Gradesheet!AY71)</f>
        <v>0</v>
      </c>
      <c r="H73" s="146">
        <f t="shared" si="0"/>
        <v>0</v>
      </c>
    </row>
    <row r="74" spans="2:8" hidden="1" x14ac:dyDescent="0.25">
      <c r="B74" s="90">
        <f>Gradesheet!A72</f>
        <v>21</v>
      </c>
      <c r="C74" s="91">
        <f>(Gradesheet!B72)</f>
        <v>0</v>
      </c>
      <c r="D74" s="92">
        <f>IF(Outline!$C$14&gt;0,Gradesheet!AD72,Gradesheet!AK72)</f>
        <v>0</v>
      </c>
      <c r="E74" s="145">
        <f>IF(Outline!$C$14&gt;0,Gradesheet!L72,Gradesheet!AR72)</f>
        <v>0</v>
      </c>
      <c r="F74" s="145">
        <f>IF(Outline!$C$14&gt;0,Gradesheet!AZ72,"NA")</f>
        <v>0</v>
      </c>
      <c r="G74" s="145">
        <f>IF(Outline!$C$14&gt;0,Gradesheet!U72,Gradesheet!AY72)</f>
        <v>0</v>
      </c>
      <c r="H74" s="146">
        <f t="shared" si="0"/>
        <v>0</v>
      </c>
    </row>
    <row r="75" spans="2:8" hidden="1" x14ac:dyDescent="0.25">
      <c r="B75" s="90">
        <f>Gradesheet!A73</f>
        <v>22</v>
      </c>
      <c r="C75" s="91">
        <f>(Gradesheet!B73)</f>
        <v>0</v>
      </c>
      <c r="D75" s="92">
        <f>IF(Outline!$C$14&gt;0,Gradesheet!AD73,Gradesheet!AK73)</f>
        <v>0</v>
      </c>
      <c r="E75" s="145">
        <f>IF(Outline!$C$14&gt;0,Gradesheet!L73,Gradesheet!AR73)</f>
        <v>0</v>
      </c>
      <c r="F75" s="145">
        <f>IF(Outline!$C$14&gt;0,Gradesheet!AZ73,"NA")</f>
        <v>0</v>
      </c>
      <c r="G75" s="145">
        <f>IF(Outline!$C$14&gt;0,Gradesheet!U73,Gradesheet!AY73)</f>
        <v>0</v>
      </c>
      <c r="H75" s="146">
        <f t="shared" si="0"/>
        <v>0</v>
      </c>
    </row>
    <row r="76" spans="2:8" hidden="1" x14ac:dyDescent="0.25">
      <c r="B76" s="90">
        <f>Gradesheet!A74</f>
        <v>23</v>
      </c>
      <c r="C76" s="91">
        <f>(Gradesheet!B74)</f>
        <v>0</v>
      </c>
      <c r="D76" s="92">
        <f>IF(Outline!$C$14&gt;0,Gradesheet!AD74,Gradesheet!AK74)</f>
        <v>0</v>
      </c>
      <c r="E76" s="145">
        <f>IF(Outline!$C$14&gt;0,Gradesheet!L74,Gradesheet!AR74)</f>
        <v>0</v>
      </c>
      <c r="F76" s="145">
        <f>IF(Outline!$C$14&gt;0,Gradesheet!AZ74,"NA")</f>
        <v>0</v>
      </c>
      <c r="G76" s="145">
        <f>IF(Outline!$C$14&gt;0,Gradesheet!U74,Gradesheet!AY74)</f>
        <v>0</v>
      </c>
      <c r="H76" s="146">
        <f t="shared" ref="H76:H120" si="1">SUM(D76:G76)</f>
        <v>0</v>
      </c>
    </row>
    <row r="77" spans="2:8" hidden="1" x14ac:dyDescent="0.25">
      <c r="B77" s="90">
        <f>Gradesheet!A75</f>
        <v>24</v>
      </c>
      <c r="C77" s="91">
        <f>(Gradesheet!B75)</f>
        <v>0</v>
      </c>
      <c r="D77" s="92">
        <f>IF(Outline!$C$14&gt;0,Gradesheet!AD75,Gradesheet!AK75)</f>
        <v>0</v>
      </c>
      <c r="E77" s="145">
        <f>IF(Outline!$C$14&gt;0,Gradesheet!L75,Gradesheet!AR75)</f>
        <v>0</v>
      </c>
      <c r="F77" s="145">
        <f>IF(Outline!$C$14&gt;0,Gradesheet!AZ75,"NA")</f>
        <v>0</v>
      </c>
      <c r="G77" s="145">
        <f>IF(Outline!$C$14&gt;0,Gradesheet!U75,Gradesheet!AY75)</f>
        <v>0</v>
      </c>
      <c r="H77" s="146">
        <f t="shared" si="1"/>
        <v>0</v>
      </c>
    </row>
    <row r="78" spans="2:8" hidden="1" x14ac:dyDescent="0.25">
      <c r="B78" s="90">
        <f>Gradesheet!A76</f>
        <v>25</v>
      </c>
      <c r="C78" s="91">
        <f>(Gradesheet!B76)</f>
        <v>0</v>
      </c>
      <c r="D78" s="92">
        <f>IF(Outline!$C$14&gt;0,Gradesheet!AD76,Gradesheet!AK76)</f>
        <v>0</v>
      </c>
      <c r="E78" s="145">
        <f>IF(Outline!$C$14&gt;0,Gradesheet!L76,Gradesheet!AR76)</f>
        <v>0</v>
      </c>
      <c r="F78" s="145">
        <f>IF(Outline!$C$14&gt;0,Gradesheet!AZ76,"NA")</f>
        <v>0</v>
      </c>
      <c r="G78" s="145">
        <f>IF(Outline!$C$14&gt;0,Gradesheet!U76,Gradesheet!AY76)</f>
        <v>0</v>
      </c>
      <c r="H78" s="146">
        <f t="shared" si="1"/>
        <v>0</v>
      </c>
    </row>
    <row r="79" spans="2:8" hidden="1" x14ac:dyDescent="0.25">
      <c r="B79" s="90">
        <f>Gradesheet!A77</f>
        <v>26</v>
      </c>
      <c r="C79" s="91">
        <f>(Gradesheet!B77)</f>
        <v>0</v>
      </c>
      <c r="D79" s="92">
        <f>IF(Outline!$C$14&gt;0,Gradesheet!AD77,Gradesheet!AK77)</f>
        <v>0</v>
      </c>
      <c r="E79" s="145">
        <f>IF(Outline!$C$14&gt;0,Gradesheet!L77,Gradesheet!AR77)</f>
        <v>0</v>
      </c>
      <c r="F79" s="145">
        <f>IF(Outline!$C$14&gt;0,Gradesheet!AZ77,"NA")</f>
        <v>0</v>
      </c>
      <c r="G79" s="145">
        <f>IF(Outline!$C$14&gt;0,Gradesheet!U77,Gradesheet!AY77)</f>
        <v>0</v>
      </c>
      <c r="H79" s="146">
        <f t="shared" si="1"/>
        <v>0</v>
      </c>
    </row>
    <row r="80" spans="2:8" hidden="1" x14ac:dyDescent="0.25">
      <c r="B80" s="90">
        <f>Gradesheet!A78</f>
        <v>27</v>
      </c>
      <c r="C80" s="91">
        <f>(Gradesheet!B78)</f>
        <v>0</v>
      </c>
      <c r="D80" s="92">
        <f>IF(Outline!$C$14&gt;0,Gradesheet!AD78,Gradesheet!AK78)</f>
        <v>0</v>
      </c>
      <c r="E80" s="145">
        <f>IF(Outline!$C$14&gt;0,Gradesheet!L78,Gradesheet!AR78)</f>
        <v>0</v>
      </c>
      <c r="F80" s="145">
        <f>IF(Outline!$C$14&gt;0,Gradesheet!AZ78,"NA")</f>
        <v>0</v>
      </c>
      <c r="G80" s="145">
        <f>IF(Outline!$C$14&gt;0,Gradesheet!U78,Gradesheet!AY78)</f>
        <v>0</v>
      </c>
      <c r="H80" s="146">
        <f t="shared" si="1"/>
        <v>0</v>
      </c>
    </row>
    <row r="81" spans="2:8" hidden="1" x14ac:dyDescent="0.25">
      <c r="B81" s="90">
        <f>Gradesheet!A79</f>
        <v>28</v>
      </c>
      <c r="C81" s="91">
        <f>(Gradesheet!B79)</f>
        <v>0</v>
      </c>
      <c r="D81" s="92">
        <f>IF(Outline!$C$14&gt;0,Gradesheet!AD79,Gradesheet!AK79)</f>
        <v>0</v>
      </c>
      <c r="E81" s="145">
        <f>IF(Outline!$C$14&gt;0,Gradesheet!L79,Gradesheet!AR79)</f>
        <v>0</v>
      </c>
      <c r="F81" s="145">
        <f>IF(Outline!$C$14&gt;0,Gradesheet!AZ79,"NA")</f>
        <v>0</v>
      </c>
      <c r="G81" s="145">
        <f>IF(Outline!$C$14&gt;0,Gradesheet!U79,Gradesheet!AY79)</f>
        <v>0</v>
      </c>
      <c r="H81" s="146">
        <f t="shared" si="1"/>
        <v>0</v>
      </c>
    </row>
    <row r="82" spans="2:8" hidden="1" x14ac:dyDescent="0.25">
      <c r="B82" s="90">
        <f>Gradesheet!A80</f>
        <v>29</v>
      </c>
      <c r="C82" s="91">
        <f>(Gradesheet!B80)</f>
        <v>0</v>
      </c>
      <c r="D82" s="92">
        <f>IF(Outline!$C$14&gt;0,Gradesheet!AD80,Gradesheet!AK80)</f>
        <v>0</v>
      </c>
      <c r="E82" s="145">
        <f>IF(Outline!$C$14&gt;0,Gradesheet!L80,Gradesheet!AR80)</f>
        <v>0</v>
      </c>
      <c r="F82" s="145">
        <f>IF(Outline!$C$14&gt;0,Gradesheet!AZ80,"NA")</f>
        <v>0</v>
      </c>
      <c r="G82" s="145">
        <f>IF(Outline!$C$14&gt;0,Gradesheet!U80,Gradesheet!AY80)</f>
        <v>0</v>
      </c>
      <c r="H82" s="146">
        <f t="shared" si="1"/>
        <v>0</v>
      </c>
    </row>
    <row r="83" spans="2:8" hidden="1" x14ac:dyDescent="0.25">
      <c r="B83" s="90">
        <f>Gradesheet!A81</f>
        <v>30</v>
      </c>
      <c r="C83" s="91">
        <f>(Gradesheet!B81)</f>
        <v>0</v>
      </c>
      <c r="D83" s="92">
        <f>IF(Outline!$C$14&gt;0,Gradesheet!AD81,Gradesheet!AK81)</f>
        <v>0</v>
      </c>
      <c r="E83" s="145">
        <f>IF(Outline!$C$14&gt;0,Gradesheet!L81,Gradesheet!AR81)</f>
        <v>0</v>
      </c>
      <c r="F83" s="145">
        <f>IF(Outline!$C$14&gt;0,Gradesheet!AZ81,"NA")</f>
        <v>0</v>
      </c>
      <c r="G83" s="145">
        <f>IF(Outline!$C$14&gt;0,Gradesheet!U81,Gradesheet!AY81)</f>
        <v>0</v>
      </c>
      <c r="H83" s="146">
        <f t="shared" si="1"/>
        <v>0</v>
      </c>
    </row>
    <row r="84" spans="2:8" hidden="1" x14ac:dyDescent="0.25">
      <c r="B84" s="90">
        <f>Gradesheet!A82</f>
        <v>31</v>
      </c>
      <c r="C84" s="91">
        <f>(Gradesheet!B82)</f>
        <v>0</v>
      </c>
      <c r="D84" s="92">
        <f>IF(Outline!$C$14&gt;0,Gradesheet!AD82,Gradesheet!AK82)</f>
        <v>0</v>
      </c>
      <c r="E84" s="145">
        <f>IF(Outline!$C$14&gt;0,Gradesheet!L82,Gradesheet!AR82)</f>
        <v>0</v>
      </c>
      <c r="F84" s="145">
        <f>IF(Outline!$C$14&gt;0,Gradesheet!AZ82,"NA")</f>
        <v>0</v>
      </c>
      <c r="G84" s="145">
        <f>IF(Outline!$C$14&gt;0,Gradesheet!U82,Gradesheet!AY82)</f>
        <v>0</v>
      </c>
      <c r="H84" s="146">
        <f t="shared" si="1"/>
        <v>0</v>
      </c>
    </row>
    <row r="85" spans="2:8" hidden="1" x14ac:dyDescent="0.25">
      <c r="B85" s="90">
        <f>Gradesheet!A83</f>
        <v>32</v>
      </c>
      <c r="C85" s="91">
        <f>(Gradesheet!B83)</f>
        <v>0</v>
      </c>
      <c r="D85" s="92">
        <f>IF(Outline!$C$14&gt;0,Gradesheet!AD83,Gradesheet!AK83)</f>
        <v>0</v>
      </c>
      <c r="E85" s="145">
        <f>IF(Outline!$C$14&gt;0,Gradesheet!L83,Gradesheet!AR83)</f>
        <v>0</v>
      </c>
      <c r="F85" s="145">
        <f>IF(Outline!$C$14&gt;0,Gradesheet!AZ83,"NA")</f>
        <v>0</v>
      </c>
      <c r="G85" s="145">
        <f>IF(Outline!$C$14&gt;0,Gradesheet!U83,Gradesheet!AY83)</f>
        <v>0</v>
      </c>
      <c r="H85" s="146">
        <f t="shared" si="1"/>
        <v>0</v>
      </c>
    </row>
    <row r="86" spans="2:8" hidden="1" x14ac:dyDescent="0.25">
      <c r="B86" s="90">
        <f>Gradesheet!A84</f>
        <v>33</v>
      </c>
      <c r="C86" s="91">
        <f>(Gradesheet!B84)</f>
        <v>0</v>
      </c>
      <c r="D86" s="92">
        <f>IF(Outline!$C$14&gt;0,Gradesheet!AD84,Gradesheet!AK84)</f>
        <v>0</v>
      </c>
      <c r="E86" s="145">
        <f>IF(Outline!$C$14&gt;0,Gradesheet!L84,Gradesheet!AR84)</f>
        <v>0</v>
      </c>
      <c r="F86" s="145">
        <f>IF(Outline!$C$14&gt;0,Gradesheet!AZ84,"NA")</f>
        <v>0</v>
      </c>
      <c r="G86" s="145">
        <f>IF(Outline!$C$14&gt;0,Gradesheet!U84,Gradesheet!AY84)</f>
        <v>0</v>
      </c>
      <c r="H86" s="146">
        <f t="shared" si="1"/>
        <v>0</v>
      </c>
    </row>
    <row r="87" spans="2:8" hidden="1" x14ac:dyDescent="0.25">
      <c r="B87" s="90">
        <f>Gradesheet!A85</f>
        <v>34</v>
      </c>
      <c r="C87" s="91">
        <f>(Gradesheet!B85)</f>
        <v>0</v>
      </c>
      <c r="D87" s="92">
        <f>IF(Outline!$C$14&gt;0,Gradesheet!AD85,Gradesheet!AK85)</f>
        <v>0</v>
      </c>
      <c r="E87" s="145">
        <f>IF(Outline!$C$14&gt;0,Gradesheet!L85,Gradesheet!AR85)</f>
        <v>0</v>
      </c>
      <c r="F87" s="145">
        <f>IF(Outline!$C$14&gt;0,Gradesheet!AZ85,"NA")</f>
        <v>0</v>
      </c>
      <c r="G87" s="145">
        <f>IF(Outline!$C$14&gt;0,Gradesheet!U85,Gradesheet!AY85)</f>
        <v>0</v>
      </c>
      <c r="H87" s="146">
        <f t="shared" si="1"/>
        <v>0</v>
      </c>
    </row>
    <row r="88" spans="2:8" hidden="1" x14ac:dyDescent="0.25">
      <c r="B88" s="90">
        <f>Gradesheet!A86</f>
        <v>35</v>
      </c>
      <c r="C88" s="91">
        <f>(Gradesheet!B86)</f>
        <v>0</v>
      </c>
      <c r="D88" s="92">
        <f>IF(Outline!$C$14&gt;0,Gradesheet!AD86,Gradesheet!AK86)</f>
        <v>0</v>
      </c>
      <c r="E88" s="145">
        <f>IF(Outline!$C$14&gt;0,Gradesheet!L86,Gradesheet!AR86)</f>
        <v>0</v>
      </c>
      <c r="F88" s="145">
        <f>IF(Outline!$C$14&gt;0,Gradesheet!AZ86,"NA")</f>
        <v>0</v>
      </c>
      <c r="G88" s="145">
        <f>IF(Outline!$C$14&gt;0,Gradesheet!U86,Gradesheet!AY86)</f>
        <v>0</v>
      </c>
      <c r="H88" s="146">
        <f t="shared" si="1"/>
        <v>0</v>
      </c>
    </row>
    <row r="89" spans="2:8" hidden="1" x14ac:dyDescent="0.25">
      <c r="B89" s="90">
        <f>Gradesheet!A87</f>
        <v>36</v>
      </c>
      <c r="C89" s="91">
        <f>(Gradesheet!B87)</f>
        <v>0</v>
      </c>
      <c r="D89" s="92">
        <f>IF(Outline!$C$14&gt;0,Gradesheet!AD87,Gradesheet!AK87)</f>
        <v>0</v>
      </c>
      <c r="E89" s="145">
        <f>IF(Outline!$C$14&gt;0,Gradesheet!L87,Gradesheet!AR87)</f>
        <v>0</v>
      </c>
      <c r="F89" s="145">
        <f>IF(Outline!$C$14&gt;0,Gradesheet!AZ87,"NA")</f>
        <v>0</v>
      </c>
      <c r="G89" s="145">
        <f>IF(Outline!$C$14&gt;0,Gradesheet!U87,Gradesheet!AY87)</f>
        <v>0</v>
      </c>
      <c r="H89" s="146">
        <f t="shared" si="1"/>
        <v>0</v>
      </c>
    </row>
    <row r="90" spans="2:8" hidden="1" x14ac:dyDescent="0.25">
      <c r="B90" s="90">
        <f>Gradesheet!A88</f>
        <v>37</v>
      </c>
      <c r="C90" s="91">
        <f>(Gradesheet!B88)</f>
        <v>0</v>
      </c>
      <c r="D90" s="92">
        <f>IF(Outline!$C$14&gt;0,Gradesheet!AD88,Gradesheet!AK88)</f>
        <v>0</v>
      </c>
      <c r="E90" s="145">
        <f>IF(Outline!$C$14&gt;0,Gradesheet!L88,Gradesheet!AR88)</f>
        <v>0</v>
      </c>
      <c r="F90" s="145">
        <f>IF(Outline!$C$14&gt;0,Gradesheet!AZ88,"NA")</f>
        <v>0</v>
      </c>
      <c r="G90" s="145">
        <f>IF(Outline!$C$14&gt;0,Gradesheet!U88,Gradesheet!AY88)</f>
        <v>0</v>
      </c>
      <c r="H90" s="146">
        <f t="shared" si="1"/>
        <v>0</v>
      </c>
    </row>
    <row r="91" spans="2:8" hidden="1" x14ac:dyDescent="0.25">
      <c r="B91" s="90">
        <f>Gradesheet!A89</f>
        <v>38</v>
      </c>
      <c r="C91" s="91">
        <f>(Gradesheet!B89)</f>
        <v>0</v>
      </c>
      <c r="D91" s="92">
        <f>IF(Outline!$C$14&gt;0,Gradesheet!AD89,Gradesheet!AK89)</f>
        <v>0</v>
      </c>
      <c r="E91" s="145">
        <f>IF(Outline!$C$14&gt;0,Gradesheet!L89,Gradesheet!AR89)</f>
        <v>0</v>
      </c>
      <c r="F91" s="145">
        <f>IF(Outline!$C$14&gt;0,Gradesheet!AZ89,"NA")</f>
        <v>0</v>
      </c>
      <c r="G91" s="145">
        <f>IF(Outline!$C$14&gt;0,Gradesheet!U89,Gradesheet!AY89)</f>
        <v>0</v>
      </c>
      <c r="H91" s="146">
        <f t="shared" si="1"/>
        <v>0</v>
      </c>
    </row>
    <row r="92" spans="2:8" hidden="1" x14ac:dyDescent="0.25">
      <c r="B92" s="90">
        <f>Gradesheet!A90</f>
        <v>39</v>
      </c>
      <c r="C92" s="91">
        <f>(Gradesheet!B90)</f>
        <v>0</v>
      </c>
      <c r="D92" s="92">
        <f>IF(Outline!$C$14&gt;0,Gradesheet!AD90,Gradesheet!AK90)</f>
        <v>0</v>
      </c>
      <c r="E92" s="145">
        <f>IF(Outline!$C$14&gt;0,Gradesheet!L90,Gradesheet!AR90)</f>
        <v>0</v>
      </c>
      <c r="F92" s="145">
        <f>IF(Outline!$C$14&gt;0,Gradesheet!AZ90,"NA")</f>
        <v>0</v>
      </c>
      <c r="G92" s="145">
        <f>IF(Outline!$C$14&gt;0,Gradesheet!U90,Gradesheet!AY90)</f>
        <v>0</v>
      </c>
      <c r="H92" s="146">
        <f t="shared" si="1"/>
        <v>0</v>
      </c>
    </row>
    <row r="93" spans="2:8" hidden="1" x14ac:dyDescent="0.25">
      <c r="B93" s="90">
        <f>Gradesheet!A91</f>
        <v>40</v>
      </c>
      <c r="C93" s="91">
        <f>(Gradesheet!B91)</f>
        <v>0</v>
      </c>
      <c r="D93" s="92">
        <f>IF(Outline!$C$14&gt;0,Gradesheet!AD91,Gradesheet!AK91)</f>
        <v>0</v>
      </c>
      <c r="E93" s="145">
        <f>IF(Outline!$C$14&gt;0,Gradesheet!L91,Gradesheet!AR91)</f>
        <v>0</v>
      </c>
      <c r="F93" s="145">
        <f>IF(Outline!$C$14&gt;0,Gradesheet!AZ91,"NA")</f>
        <v>0</v>
      </c>
      <c r="G93" s="145">
        <f>IF(Outline!$C$14&gt;0,Gradesheet!U91,Gradesheet!AY91)</f>
        <v>0</v>
      </c>
      <c r="H93" s="146">
        <f t="shared" si="1"/>
        <v>0</v>
      </c>
    </row>
    <row r="94" spans="2:8" hidden="1" x14ac:dyDescent="0.25">
      <c r="B94" s="90">
        <f>Gradesheet!A92</f>
        <v>41</v>
      </c>
      <c r="C94" s="91">
        <f>(Gradesheet!B92)</f>
        <v>0</v>
      </c>
      <c r="D94" s="92">
        <f>IF(Outline!$C$14&gt;0,Gradesheet!AD92,Gradesheet!AK92)</f>
        <v>0</v>
      </c>
      <c r="E94" s="145">
        <f>IF(Outline!$C$14&gt;0,Gradesheet!L92,Gradesheet!AR92)</f>
        <v>0</v>
      </c>
      <c r="F94" s="145">
        <f>IF(Outline!$C$14&gt;0,Gradesheet!AZ92,"NA")</f>
        <v>0</v>
      </c>
      <c r="G94" s="145">
        <f>IF(Outline!$C$14&gt;0,Gradesheet!U92,Gradesheet!AY92)</f>
        <v>0</v>
      </c>
      <c r="H94" s="146">
        <f t="shared" si="1"/>
        <v>0</v>
      </c>
    </row>
    <row r="95" spans="2:8" hidden="1" x14ac:dyDescent="0.25">
      <c r="B95" s="90">
        <f>Gradesheet!A93</f>
        <v>42</v>
      </c>
      <c r="C95" s="91">
        <f>(Gradesheet!B93)</f>
        <v>0</v>
      </c>
      <c r="D95" s="92">
        <f>IF(Outline!$C$14&gt;0,Gradesheet!AD93,Gradesheet!AK93)</f>
        <v>0</v>
      </c>
      <c r="E95" s="145">
        <f>IF(Outline!$C$14&gt;0,Gradesheet!L93,Gradesheet!AR93)</f>
        <v>0</v>
      </c>
      <c r="F95" s="145">
        <f>IF(Outline!$C$14&gt;0,Gradesheet!AZ93,"NA")</f>
        <v>0</v>
      </c>
      <c r="G95" s="145">
        <f>IF(Outline!$C$14&gt;0,Gradesheet!U93,Gradesheet!AY93)</f>
        <v>0</v>
      </c>
      <c r="H95" s="146">
        <f t="shared" si="1"/>
        <v>0</v>
      </c>
    </row>
    <row r="96" spans="2:8" hidden="1" x14ac:dyDescent="0.25">
      <c r="B96" s="90">
        <f>Gradesheet!A94</f>
        <v>0</v>
      </c>
      <c r="C96" s="91">
        <f>(Gradesheet!B94)</f>
        <v>0</v>
      </c>
      <c r="D96" s="92">
        <f>IF(Outline!$C$14&gt;0,Gradesheet!AD94,Gradesheet!AK94)</f>
        <v>0</v>
      </c>
      <c r="E96" s="145">
        <f>IF(Outline!$C$14&gt;0,Gradesheet!L94,Gradesheet!AR94)</f>
        <v>0</v>
      </c>
      <c r="F96" s="145">
        <f>IF(Outline!$C$14&gt;0,Gradesheet!AZ94,"NA")</f>
        <v>0</v>
      </c>
      <c r="G96" s="145">
        <f>IF(Outline!$C$14&gt;0,Gradesheet!U94,Gradesheet!AY94)</f>
        <v>0</v>
      </c>
      <c r="H96" s="146">
        <f t="shared" si="1"/>
        <v>0</v>
      </c>
    </row>
    <row r="97" spans="2:8" hidden="1" x14ac:dyDescent="0.25">
      <c r="B97" s="90">
        <f>Gradesheet!A95</f>
        <v>1</v>
      </c>
      <c r="C97" s="91">
        <f>(Gradesheet!B95)</f>
        <v>0</v>
      </c>
      <c r="D97" s="92">
        <f>IF(Outline!$C$14&gt;0,Gradesheet!AD95,Gradesheet!AK95)</f>
        <v>0</v>
      </c>
      <c r="E97" s="145">
        <f>IF(Outline!$C$14&gt;0,Gradesheet!L95,Gradesheet!AR95)</f>
        <v>0</v>
      </c>
      <c r="F97" s="145">
        <f>IF(Outline!$C$14&gt;0,Gradesheet!AZ95,"NA")</f>
        <v>0</v>
      </c>
      <c r="G97" s="145">
        <f>IF(Outline!$C$14&gt;0,Gradesheet!U95,Gradesheet!AY95)</f>
        <v>0</v>
      </c>
      <c r="H97" s="146">
        <f t="shared" si="1"/>
        <v>0</v>
      </c>
    </row>
    <row r="98" spans="2:8" hidden="1" x14ac:dyDescent="0.25">
      <c r="B98" s="90">
        <f>Gradesheet!A96</f>
        <v>2</v>
      </c>
      <c r="C98" s="91">
        <f>(Gradesheet!B96)</f>
        <v>0</v>
      </c>
      <c r="D98" s="92">
        <f>IF(Outline!$C$14&gt;0,Gradesheet!AD96,Gradesheet!AK96)</f>
        <v>0</v>
      </c>
      <c r="E98" s="145">
        <f>IF(Outline!$C$14&gt;0,Gradesheet!L96,Gradesheet!AR96)</f>
        <v>0</v>
      </c>
      <c r="F98" s="145">
        <f>IF(Outline!$C$14&gt;0,Gradesheet!AZ96,"NA")</f>
        <v>0</v>
      </c>
      <c r="G98" s="145">
        <f>IF(Outline!$C$14&gt;0,Gradesheet!U96,Gradesheet!AY96)</f>
        <v>0</v>
      </c>
      <c r="H98" s="146">
        <f t="shared" si="1"/>
        <v>0</v>
      </c>
    </row>
    <row r="99" spans="2:8" hidden="1" x14ac:dyDescent="0.25">
      <c r="B99" s="90">
        <f>Gradesheet!A97</f>
        <v>3</v>
      </c>
      <c r="C99" s="91">
        <f>(Gradesheet!B97)</f>
        <v>0</v>
      </c>
      <c r="D99" s="92">
        <f>IF(Outline!$C$14&gt;0,Gradesheet!AD97,Gradesheet!AK97)</f>
        <v>0</v>
      </c>
      <c r="E99" s="145">
        <f>IF(Outline!$C$14&gt;0,Gradesheet!L97,Gradesheet!AR97)</f>
        <v>0</v>
      </c>
      <c r="F99" s="145">
        <f>IF(Outline!$C$14&gt;0,Gradesheet!AZ97,"NA")</f>
        <v>0</v>
      </c>
      <c r="G99" s="145">
        <f>IF(Outline!$C$14&gt;0,Gradesheet!U97,Gradesheet!AY97)</f>
        <v>0</v>
      </c>
      <c r="H99" s="146">
        <f t="shared" si="1"/>
        <v>0</v>
      </c>
    </row>
    <row r="100" spans="2:8" hidden="1" x14ac:dyDescent="0.25">
      <c r="B100" s="90">
        <f>Gradesheet!A98</f>
        <v>4</v>
      </c>
      <c r="C100" s="91">
        <f>(Gradesheet!B98)</f>
        <v>0</v>
      </c>
      <c r="D100" s="92">
        <f>IF(Outline!$C$14&gt;0,Gradesheet!AD98,Gradesheet!AK98)</f>
        <v>0</v>
      </c>
      <c r="E100" s="145">
        <f>IF(Outline!$C$14&gt;0,Gradesheet!L98,Gradesheet!AR98)</f>
        <v>0</v>
      </c>
      <c r="F100" s="145">
        <f>IF(Outline!$C$14&gt;0,Gradesheet!AZ98,"NA")</f>
        <v>0</v>
      </c>
      <c r="G100" s="145">
        <f>IF(Outline!$C$14&gt;0,Gradesheet!U98,Gradesheet!AY98)</f>
        <v>0</v>
      </c>
      <c r="H100" s="146">
        <f t="shared" si="1"/>
        <v>0</v>
      </c>
    </row>
    <row r="101" spans="2:8" hidden="1" x14ac:dyDescent="0.25">
      <c r="B101" s="90">
        <f>Gradesheet!A99</f>
        <v>5</v>
      </c>
      <c r="C101" s="91">
        <f>(Gradesheet!B99)</f>
        <v>0</v>
      </c>
      <c r="D101" s="92">
        <f>IF(Outline!$C$14&gt;0,Gradesheet!AD99,Gradesheet!AK99)</f>
        <v>0</v>
      </c>
      <c r="E101" s="145">
        <f>IF(Outline!$C$14&gt;0,Gradesheet!L99,Gradesheet!AR99)</f>
        <v>0</v>
      </c>
      <c r="F101" s="145">
        <f>IF(Outline!$C$14&gt;0,Gradesheet!AZ99,"NA")</f>
        <v>0</v>
      </c>
      <c r="G101" s="145">
        <f>IF(Outline!$C$14&gt;0,Gradesheet!U99,Gradesheet!AY99)</f>
        <v>0</v>
      </c>
      <c r="H101" s="146">
        <f t="shared" si="1"/>
        <v>0</v>
      </c>
    </row>
    <row r="102" spans="2:8" hidden="1" x14ac:dyDescent="0.25">
      <c r="B102" s="90">
        <f>Gradesheet!A100</f>
        <v>6</v>
      </c>
      <c r="C102" s="91">
        <f>(Gradesheet!B100)</f>
        <v>0</v>
      </c>
      <c r="D102" s="92">
        <f>IF(Outline!$C$14&gt;0,Gradesheet!AD100,Gradesheet!AK100)</f>
        <v>0</v>
      </c>
      <c r="E102" s="145">
        <f>IF(Outline!$C$14&gt;0,Gradesheet!L100,Gradesheet!AR100)</f>
        <v>0</v>
      </c>
      <c r="F102" s="145">
        <f>IF(Outline!$C$14&gt;0,Gradesheet!AZ100,"NA")</f>
        <v>0</v>
      </c>
      <c r="G102" s="145">
        <f>IF(Outline!$C$14&gt;0,Gradesheet!U100,Gradesheet!AY100)</f>
        <v>0</v>
      </c>
      <c r="H102" s="146">
        <f t="shared" si="1"/>
        <v>0</v>
      </c>
    </row>
    <row r="103" spans="2:8" hidden="1" x14ac:dyDescent="0.25">
      <c r="B103" s="90">
        <f>Gradesheet!A101</f>
        <v>7</v>
      </c>
      <c r="C103" s="91">
        <f>(Gradesheet!B101)</f>
        <v>0</v>
      </c>
      <c r="D103" s="92">
        <f>IF(Outline!$C$14&gt;0,Gradesheet!AD101,Gradesheet!AK101)</f>
        <v>0</v>
      </c>
      <c r="E103" s="145">
        <f>IF(Outline!$C$14&gt;0,Gradesheet!L101,Gradesheet!AR101)</f>
        <v>0</v>
      </c>
      <c r="F103" s="145">
        <f>IF(Outline!$C$14&gt;0,Gradesheet!AZ101,"NA")</f>
        <v>0</v>
      </c>
      <c r="G103" s="145">
        <f>IF(Outline!$C$14&gt;0,Gradesheet!U101,Gradesheet!AY101)</f>
        <v>0</v>
      </c>
      <c r="H103" s="146">
        <f t="shared" si="1"/>
        <v>0</v>
      </c>
    </row>
    <row r="104" spans="2:8" hidden="1" x14ac:dyDescent="0.25">
      <c r="B104" s="90">
        <f>Gradesheet!A102</f>
        <v>8</v>
      </c>
      <c r="C104" s="91">
        <f>(Gradesheet!B102)</f>
        <v>0</v>
      </c>
      <c r="D104" s="92">
        <f>IF(Outline!$C$14&gt;0,Gradesheet!AD102,Gradesheet!AK102)</f>
        <v>0</v>
      </c>
      <c r="E104" s="145">
        <f>IF(Outline!$C$14&gt;0,Gradesheet!L102,Gradesheet!AR102)</f>
        <v>0</v>
      </c>
      <c r="F104" s="145">
        <f>IF(Outline!$C$14&gt;0,Gradesheet!AZ102,"NA")</f>
        <v>0</v>
      </c>
      <c r="G104" s="145">
        <f>IF(Outline!$C$14&gt;0,Gradesheet!U102,Gradesheet!AY102)</f>
        <v>0</v>
      </c>
      <c r="H104" s="146">
        <f t="shared" si="1"/>
        <v>0</v>
      </c>
    </row>
    <row r="105" spans="2:8" hidden="1" x14ac:dyDescent="0.25">
      <c r="B105" s="90">
        <f>Gradesheet!A103</f>
        <v>9</v>
      </c>
      <c r="C105" s="91">
        <f>(Gradesheet!B103)</f>
        <v>0</v>
      </c>
      <c r="D105" s="92">
        <f>IF(Outline!$C$14&gt;0,Gradesheet!AD103,Gradesheet!AK103)</f>
        <v>0</v>
      </c>
      <c r="E105" s="145">
        <f>IF(Outline!$C$14&gt;0,Gradesheet!L103,Gradesheet!AR103)</f>
        <v>0</v>
      </c>
      <c r="F105" s="145">
        <f>IF(Outline!$C$14&gt;0,Gradesheet!AZ103,"NA")</f>
        <v>0</v>
      </c>
      <c r="G105" s="145">
        <f>IF(Outline!$C$14&gt;0,Gradesheet!U103,Gradesheet!AY103)</f>
        <v>0</v>
      </c>
      <c r="H105" s="146">
        <f t="shared" si="1"/>
        <v>0</v>
      </c>
    </row>
    <row r="106" spans="2:8" hidden="1" x14ac:dyDescent="0.25">
      <c r="B106" s="90">
        <f>Gradesheet!A104</f>
        <v>10</v>
      </c>
      <c r="C106" s="91">
        <f>(Gradesheet!B104)</f>
        <v>0</v>
      </c>
      <c r="D106" s="92">
        <f>IF(Outline!$C$14&gt;0,Gradesheet!AD104,Gradesheet!AK104)</f>
        <v>0</v>
      </c>
      <c r="E106" s="145">
        <f>IF(Outline!$C$14&gt;0,Gradesheet!L104,Gradesheet!AR104)</f>
        <v>0</v>
      </c>
      <c r="F106" s="145">
        <f>IF(Outline!$C$14&gt;0,Gradesheet!AZ104,"NA")</f>
        <v>0</v>
      </c>
      <c r="G106" s="145">
        <f>IF(Outline!$C$14&gt;0,Gradesheet!U104,Gradesheet!AY104)</f>
        <v>0</v>
      </c>
      <c r="H106" s="146">
        <f t="shared" si="1"/>
        <v>0</v>
      </c>
    </row>
    <row r="107" spans="2:8" hidden="1" x14ac:dyDescent="0.25">
      <c r="B107" s="90">
        <f>Gradesheet!A105</f>
        <v>11</v>
      </c>
      <c r="C107" s="91">
        <f>(Gradesheet!B105)</f>
        <v>0</v>
      </c>
      <c r="D107" s="92">
        <f>IF(Outline!$C$14&gt;0,Gradesheet!AD105,Gradesheet!AK105)</f>
        <v>0</v>
      </c>
      <c r="E107" s="145">
        <f>IF(Outline!$C$14&gt;0,Gradesheet!L105,Gradesheet!AR105)</f>
        <v>0</v>
      </c>
      <c r="F107" s="145">
        <f>IF(Outline!$C$14&gt;0,Gradesheet!AZ105,"NA")</f>
        <v>0</v>
      </c>
      <c r="G107" s="145">
        <f>IF(Outline!$C$14&gt;0,Gradesheet!U105,Gradesheet!AY105)</f>
        <v>0</v>
      </c>
      <c r="H107" s="146">
        <f t="shared" si="1"/>
        <v>0</v>
      </c>
    </row>
    <row r="108" spans="2:8" hidden="1" x14ac:dyDescent="0.25">
      <c r="B108" s="90">
        <f>Gradesheet!A106</f>
        <v>12</v>
      </c>
      <c r="C108" s="91">
        <f>(Gradesheet!B106)</f>
        <v>0</v>
      </c>
      <c r="D108" s="92">
        <f>IF(Outline!$C$14&gt;0,Gradesheet!AD106,Gradesheet!AK106)</f>
        <v>0</v>
      </c>
      <c r="E108" s="145">
        <f>IF(Outline!$C$14&gt;0,Gradesheet!L106,Gradesheet!AR106)</f>
        <v>0</v>
      </c>
      <c r="F108" s="145">
        <f>IF(Outline!$C$14&gt;0,Gradesheet!AZ106,"NA")</f>
        <v>0</v>
      </c>
      <c r="G108" s="145">
        <f>IF(Outline!$C$14&gt;0,Gradesheet!U106,Gradesheet!AY106)</f>
        <v>0</v>
      </c>
      <c r="H108" s="146">
        <f t="shared" si="1"/>
        <v>0</v>
      </c>
    </row>
    <row r="109" spans="2:8" hidden="1" x14ac:dyDescent="0.25">
      <c r="B109" s="90">
        <f>Gradesheet!A107</f>
        <v>13</v>
      </c>
      <c r="C109" s="91">
        <f>(Gradesheet!B107)</f>
        <v>0</v>
      </c>
      <c r="D109" s="92">
        <f>IF(Outline!$C$14&gt;0,Gradesheet!AD107,Gradesheet!AK107)</f>
        <v>0</v>
      </c>
      <c r="E109" s="145">
        <f>IF(Outline!$C$14&gt;0,Gradesheet!L107,Gradesheet!AR107)</f>
        <v>0</v>
      </c>
      <c r="F109" s="145">
        <f>IF(Outline!$C$14&gt;0,Gradesheet!AZ107,"NA")</f>
        <v>0</v>
      </c>
      <c r="G109" s="145">
        <f>IF(Outline!$C$14&gt;0,Gradesheet!U107,Gradesheet!AY107)</f>
        <v>0</v>
      </c>
      <c r="H109" s="146">
        <f t="shared" si="1"/>
        <v>0</v>
      </c>
    </row>
    <row r="110" spans="2:8" hidden="1" x14ac:dyDescent="0.25">
      <c r="B110" s="90">
        <f>Gradesheet!A108</f>
        <v>14</v>
      </c>
      <c r="C110" s="91">
        <f>(Gradesheet!B108)</f>
        <v>0</v>
      </c>
      <c r="D110" s="92">
        <f>IF(Outline!$C$14&gt;0,Gradesheet!AD108,Gradesheet!AK108)</f>
        <v>0</v>
      </c>
      <c r="E110" s="145">
        <f>IF(Outline!$C$14&gt;0,Gradesheet!L108,Gradesheet!AR108)</f>
        <v>0</v>
      </c>
      <c r="F110" s="145">
        <f>IF(Outline!$C$14&gt;0,Gradesheet!AZ108,"NA")</f>
        <v>0</v>
      </c>
      <c r="G110" s="145">
        <f>IF(Outline!$C$14&gt;0,Gradesheet!U108,Gradesheet!AY108)</f>
        <v>0</v>
      </c>
      <c r="H110" s="146">
        <f t="shared" si="1"/>
        <v>0</v>
      </c>
    </row>
    <row r="111" spans="2:8" hidden="1" x14ac:dyDescent="0.25">
      <c r="B111" s="90">
        <f>Gradesheet!A109</f>
        <v>15</v>
      </c>
      <c r="C111" s="91">
        <f>(Gradesheet!B109)</f>
        <v>0</v>
      </c>
      <c r="D111" s="92">
        <f>IF(Outline!$C$14&gt;0,Gradesheet!AD109,Gradesheet!AK109)</f>
        <v>0</v>
      </c>
      <c r="E111" s="145">
        <f>IF(Outline!$C$14&gt;0,Gradesheet!L109,Gradesheet!AR109)</f>
        <v>0</v>
      </c>
      <c r="F111" s="145">
        <f>IF(Outline!$C$14&gt;0,Gradesheet!AZ109,"NA")</f>
        <v>0</v>
      </c>
      <c r="G111" s="145">
        <f>IF(Outline!$C$14&gt;0,Gradesheet!U109,Gradesheet!AY109)</f>
        <v>0</v>
      </c>
      <c r="H111" s="146">
        <f t="shared" si="1"/>
        <v>0</v>
      </c>
    </row>
    <row r="112" spans="2:8" hidden="1" x14ac:dyDescent="0.25">
      <c r="B112" s="90">
        <f>Gradesheet!A110</f>
        <v>16</v>
      </c>
      <c r="C112" s="91">
        <f>(Gradesheet!B110)</f>
        <v>0</v>
      </c>
      <c r="D112" s="92">
        <f>IF(Outline!$C$14&gt;0,Gradesheet!AD110,Gradesheet!AK110)</f>
        <v>0</v>
      </c>
      <c r="E112" s="145">
        <f>IF(Outline!$C$14&gt;0,Gradesheet!L110,Gradesheet!AR110)</f>
        <v>0</v>
      </c>
      <c r="F112" s="145">
        <f>IF(Outline!$C$14&gt;0,Gradesheet!AZ110,"NA")</f>
        <v>0</v>
      </c>
      <c r="G112" s="145">
        <f>IF(Outline!$C$14&gt;0,Gradesheet!U110,Gradesheet!AY110)</f>
        <v>0</v>
      </c>
      <c r="H112" s="146">
        <f t="shared" si="1"/>
        <v>0</v>
      </c>
    </row>
    <row r="113" spans="2:8" hidden="1" x14ac:dyDescent="0.25">
      <c r="B113" s="90">
        <f>Gradesheet!A111</f>
        <v>17</v>
      </c>
      <c r="C113" s="91">
        <f>(Gradesheet!B111)</f>
        <v>0</v>
      </c>
      <c r="D113" s="92">
        <f>IF(Outline!$C$14&gt;0,Gradesheet!AD111,Gradesheet!AK111)</f>
        <v>0</v>
      </c>
      <c r="E113" s="145">
        <f>IF(Outline!$C$14&gt;0,Gradesheet!L111,Gradesheet!AR111)</f>
        <v>0</v>
      </c>
      <c r="F113" s="145">
        <f>IF(Outline!$C$14&gt;0,Gradesheet!AZ111,"NA")</f>
        <v>0</v>
      </c>
      <c r="G113" s="145">
        <f>IF(Outline!$C$14&gt;0,Gradesheet!U111,Gradesheet!AY111)</f>
        <v>0</v>
      </c>
      <c r="H113" s="146">
        <f t="shared" si="1"/>
        <v>0</v>
      </c>
    </row>
    <row r="114" spans="2:8" hidden="1" x14ac:dyDescent="0.25">
      <c r="B114" s="90">
        <f>Gradesheet!A112</f>
        <v>18</v>
      </c>
      <c r="C114" s="91">
        <f>(Gradesheet!B112)</f>
        <v>0</v>
      </c>
      <c r="D114" s="92">
        <f>IF(Outline!$C$14&gt;0,Gradesheet!AD112,Gradesheet!AK112)</f>
        <v>0</v>
      </c>
      <c r="E114" s="145">
        <f>IF(Outline!$C$14&gt;0,Gradesheet!L112,Gradesheet!AR112)</f>
        <v>0</v>
      </c>
      <c r="F114" s="145">
        <f>IF(Outline!$C$14&gt;0,Gradesheet!AZ112,"NA")</f>
        <v>0</v>
      </c>
      <c r="G114" s="145">
        <f>IF(Outline!$C$14&gt;0,Gradesheet!U112,Gradesheet!AY112)</f>
        <v>0</v>
      </c>
      <c r="H114" s="146">
        <f t="shared" si="1"/>
        <v>0</v>
      </c>
    </row>
    <row r="115" spans="2:8" hidden="1" x14ac:dyDescent="0.25">
      <c r="B115" s="90">
        <f>Gradesheet!A113</f>
        <v>19</v>
      </c>
      <c r="C115" s="91">
        <f>(Gradesheet!B113)</f>
        <v>0</v>
      </c>
      <c r="D115" s="92">
        <f>IF(Outline!$C$14&gt;0,Gradesheet!AD113,Gradesheet!AK113)</f>
        <v>0</v>
      </c>
      <c r="E115" s="145">
        <f>IF(Outline!$C$14&gt;0,Gradesheet!L113,Gradesheet!AR113)</f>
        <v>0</v>
      </c>
      <c r="F115" s="145">
        <f>IF(Outline!$C$14&gt;0,Gradesheet!AZ113,"NA")</f>
        <v>0</v>
      </c>
      <c r="G115" s="145">
        <f>IF(Outline!$C$14&gt;0,Gradesheet!U113,Gradesheet!AY113)</f>
        <v>0</v>
      </c>
      <c r="H115" s="146">
        <f t="shared" si="1"/>
        <v>0</v>
      </c>
    </row>
    <row r="116" spans="2:8" hidden="1" x14ac:dyDescent="0.25">
      <c r="B116" s="90">
        <f>Gradesheet!A114</f>
        <v>20</v>
      </c>
      <c r="C116" s="91">
        <f>(Gradesheet!B114)</f>
        <v>0</v>
      </c>
      <c r="D116" s="92">
        <f>IF(Outline!$C$14&gt;0,Gradesheet!AD114,Gradesheet!AK114)</f>
        <v>0</v>
      </c>
      <c r="E116" s="145">
        <f>IF(Outline!$C$14&gt;0,Gradesheet!L114,Gradesheet!AR114)</f>
        <v>0</v>
      </c>
      <c r="F116" s="145">
        <f>IF(Outline!$C$14&gt;0,Gradesheet!AZ114,"NA")</f>
        <v>0</v>
      </c>
      <c r="G116" s="145">
        <f>IF(Outline!$C$14&gt;0,Gradesheet!U114,Gradesheet!AY114)</f>
        <v>0</v>
      </c>
      <c r="H116" s="146">
        <f t="shared" si="1"/>
        <v>0</v>
      </c>
    </row>
    <row r="117" spans="2:8" hidden="1" x14ac:dyDescent="0.25">
      <c r="B117" s="90">
        <f>Gradesheet!A115</f>
        <v>21</v>
      </c>
      <c r="C117" s="91">
        <f>(Gradesheet!B115)</f>
        <v>0</v>
      </c>
      <c r="D117" s="92">
        <f>IF(Outline!$C$14&gt;0,Gradesheet!AD115,Gradesheet!AK115)</f>
        <v>0</v>
      </c>
      <c r="E117" s="145">
        <f>IF(Outline!$C$14&gt;0,Gradesheet!L115,Gradesheet!AR115)</f>
        <v>0</v>
      </c>
      <c r="F117" s="145">
        <f>IF(Outline!$C$14&gt;0,Gradesheet!AZ115,"NA")</f>
        <v>0</v>
      </c>
      <c r="G117" s="145">
        <f>IF(Outline!$C$14&gt;0,Gradesheet!U115,Gradesheet!AY115)</f>
        <v>0</v>
      </c>
      <c r="H117" s="146">
        <f t="shared" si="1"/>
        <v>0</v>
      </c>
    </row>
    <row r="118" spans="2:8" hidden="1" x14ac:dyDescent="0.25">
      <c r="B118" s="90">
        <f>Gradesheet!A116</f>
        <v>22</v>
      </c>
      <c r="C118" s="91">
        <f>(Gradesheet!B116)</f>
        <v>0</v>
      </c>
      <c r="D118" s="92">
        <f>IF(Outline!$C$14&gt;0,Gradesheet!AD116,Gradesheet!AK116)</f>
        <v>0</v>
      </c>
      <c r="E118" s="145">
        <f>IF(Outline!$C$14&gt;0,Gradesheet!L116,Gradesheet!AR116)</f>
        <v>0</v>
      </c>
      <c r="F118" s="145">
        <f>IF(Outline!$C$14&gt;0,Gradesheet!AZ116,"NA")</f>
        <v>0</v>
      </c>
      <c r="G118" s="145">
        <f>IF(Outline!$C$14&gt;0,Gradesheet!U116,Gradesheet!AY116)</f>
        <v>0</v>
      </c>
      <c r="H118" s="146">
        <f t="shared" si="1"/>
        <v>0</v>
      </c>
    </row>
    <row r="119" spans="2:8" hidden="1" x14ac:dyDescent="0.25">
      <c r="B119" s="90">
        <f>Gradesheet!A117</f>
        <v>23</v>
      </c>
      <c r="C119" s="91">
        <f>(Gradesheet!B117)</f>
        <v>0</v>
      </c>
      <c r="D119" s="92">
        <f>IF(Outline!$C$14&gt;0,Gradesheet!AD117,Gradesheet!AK117)</f>
        <v>0</v>
      </c>
      <c r="E119" s="145">
        <f>IF(Outline!$C$14&gt;0,Gradesheet!L117,Gradesheet!AR117)</f>
        <v>0</v>
      </c>
      <c r="F119" s="145">
        <f>IF(Outline!$C$14&gt;0,Gradesheet!AZ117,"NA")</f>
        <v>0</v>
      </c>
      <c r="G119" s="145">
        <f>IF(Outline!$C$14&gt;0,Gradesheet!U117,Gradesheet!AY117)</f>
        <v>0</v>
      </c>
      <c r="H119" s="146">
        <f t="shared" si="1"/>
        <v>0</v>
      </c>
    </row>
    <row r="120" spans="2:8" hidden="1" x14ac:dyDescent="0.25">
      <c r="B120" s="90">
        <f>Gradesheet!A118</f>
        <v>24</v>
      </c>
      <c r="C120" s="91">
        <f>(Gradesheet!B118)</f>
        <v>0</v>
      </c>
      <c r="D120" s="92">
        <f>IF(Outline!$C$14&gt;0,Gradesheet!AD118,Gradesheet!AK118)</f>
        <v>0</v>
      </c>
      <c r="E120" s="145">
        <f>IF(Outline!$C$14&gt;0,Gradesheet!L118,Gradesheet!AR118)</f>
        <v>0</v>
      </c>
      <c r="F120" s="145">
        <f>IF(Outline!$C$14&gt;0,Gradesheet!AZ118,"NA")</f>
        <v>0</v>
      </c>
      <c r="G120" s="145">
        <f>IF(Outline!$C$14&gt;0,Gradesheet!U118,Gradesheet!AY118)</f>
        <v>0</v>
      </c>
      <c r="H120" s="146">
        <f t="shared" si="1"/>
        <v>0</v>
      </c>
    </row>
    <row r="121" spans="2:8" hidden="1" x14ac:dyDescent="0.25">
      <c r="B121" s="90">
        <f>Gradesheet!A149</f>
        <v>12</v>
      </c>
      <c r="C121" s="91">
        <f>(Gradesheet!B149)</f>
        <v>0</v>
      </c>
      <c r="D121" s="92">
        <f>IF(Outline!$C$14&gt;0,Gradesheet!AD149,Gradesheet!AK149)</f>
        <v>0</v>
      </c>
      <c r="E121" s="145">
        <f>IF(Outline!$C$14&gt;0,Gradesheet!L149,Gradesheet!AR149)</f>
        <v>0</v>
      </c>
      <c r="F121" s="145">
        <f>IF(Outline!$C$14&gt;0,Gradesheet!AZ149,"NA")</f>
        <v>0</v>
      </c>
      <c r="G121" s="145">
        <f>IF(Outline!$C$14&gt;0,Gradesheet!U119,Gradesheet!AY119)</f>
        <v>0</v>
      </c>
      <c r="H121" s="146">
        <f t="shared" ref="H121:H134" si="2">SUM(D121:G121)</f>
        <v>0</v>
      </c>
    </row>
    <row r="122" spans="2:8" hidden="1" x14ac:dyDescent="0.25">
      <c r="B122" s="90">
        <f>Gradesheet!A150</f>
        <v>13</v>
      </c>
      <c r="C122" s="91">
        <f>(Gradesheet!B150)</f>
        <v>0</v>
      </c>
      <c r="D122" s="92">
        <f>IF(Outline!$C$14&gt;0,Gradesheet!AD150,Gradesheet!AK150)</f>
        <v>0</v>
      </c>
      <c r="E122" s="145">
        <f>IF(Outline!$C$14&gt;0,Gradesheet!L150,Gradesheet!AR150)</f>
        <v>0</v>
      </c>
      <c r="F122" s="145">
        <f>IF(Outline!$C$14&gt;0,Gradesheet!AZ150,"NA")</f>
        <v>0</v>
      </c>
      <c r="G122" s="145">
        <f>IF(Outline!$C$14&gt;0,Gradesheet!U120,Gradesheet!AY120)</f>
        <v>0</v>
      </c>
      <c r="H122" s="146">
        <f t="shared" si="2"/>
        <v>0</v>
      </c>
    </row>
    <row r="123" spans="2:8" hidden="1" x14ac:dyDescent="0.25">
      <c r="B123" s="90">
        <f>Gradesheet!A151</f>
        <v>14</v>
      </c>
      <c r="C123" s="91">
        <f>(Gradesheet!B151)</f>
        <v>0</v>
      </c>
      <c r="D123" s="92">
        <f>IF(Outline!$C$14&gt;0,Gradesheet!AD151,Gradesheet!AK151)</f>
        <v>0</v>
      </c>
      <c r="E123" s="145">
        <f>IF(Outline!$C$14&gt;0,Gradesheet!L151,Gradesheet!AR151)</f>
        <v>0</v>
      </c>
      <c r="F123" s="145">
        <f>IF(Outline!$C$14&gt;0,Gradesheet!AZ151,"NA")</f>
        <v>0</v>
      </c>
      <c r="G123" s="145">
        <f>IF(Outline!$C$14&gt;0,Gradesheet!U121,Gradesheet!AY121)</f>
        <v>0</v>
      </c>
      <c r="H123" s="146">
        <f t="shared" si="2"/>
        <v>0</v>
      </c>
    </row>
    <row r="124" spans="2:8" hidden="1" x14ac:dyDescent="0.25">
      <c r="B124" s="90">
        <f>Gradesheet!A152</f>
        <v>15</v>
      </c>
      <c r="C124" s="91">
        <f>(Gradesheet!B152)</f>
        <v>0</v>
      </c>
      <c r="D124" s="92">
        <f>IF(Outline!$C$14&gt;0,Gradesheet!AD152,Gradesheet!AK152)</f>
        <v>0</v>
      </c>
      <c r="E124" s="145">
        <f>IF(Outline!$C$14&gt;0,Gradesheet!L152,Gradesheet!AR152)</f>
        <v>0</v>
      </c>
      <c r="F124" s="145">
        <f>IF(Outline!$C$14&gt;0,Gradesheet!AZ152,"NA")</f>
        <v>0</v>
      </c>
      <c r="G124" s="145">
        <f>IF(Outline!$C$14&gt;0,Gradesheet!U122,Gradesheet!AY122)</f>
        <v>0</v>
      </c>
      <c r="H124" s="146">
        <f t="shared" si="2"/>
        <v>0</v>
      </c>
    </row>
    <row r="125" spans="2:8" hidden="1" x14ac:dyDescent="0.25">
      <c r="B125" s="90">
        <f>Gradesheet!A153</f>
        <v>16</v>
      </c>
      <c r="C125" s="91">
        <f>(Gradesheet!B153)</f>
        <v>0</v>
      </c>
      <c r="D125" s="92">
        <f>IF(Outline!$C$14&gt;0,Gradesheet!AD153,Gradesheet!AK153)</f>
        <v>0</v>
      </c>
      <c r="E125" s="145">
        <f>IF(Outline!$C$14&gt;0,Gradesheet!L153,Gradesheet!AR153)</f>
        <v>0</v>
      </c>
      <c r="F125" s="145">
        <f>IF(Outline!$C$14&gt;0,Gradesheet!AZ153,"NA")</f>
        <v>0</v>
      </c>
      <c r="G125" s="145">
        <f>IF(Outline!$C$14&gt;0,Gradesheet!U123,Gradesheet!AY123)</f>
        <v>0</v>
      </c>
      <c r="H125" s="146">
        <f t="shared" si="2"/>
        <v>0</v>
      </c>
    </row>
    <row r="126" spans="2:8" hidden="1" x14ac:dyDescent="0.25">
      <c r="B126" s="90">
        <f>Gradesheet!A154</f>
        <v>17</v>
      </c>
      <c r="C126" s="91">
        <f>(Gradesheet!B154)</f>
        <v>0</v>
      </c>
      <c r="D126" s="92">
        <f>IF(Outline!$C$14&gt;0,Gradesheet!AD154,Gradesheet!AK154)</f>
        <v>0</v>
      </c>
      <c r="E126" s="145">
        <f>IF(Outline!$C$14&gt;0,Gradesheet!L154,Gradesheet!AR154)</f>
        <v>0</v>
      </c>
      <c r="F126" s="145">
        <f>IF(Outline!$C$14&gt;0,Gradesheet!AZ154,"NA")</f>
        <v>0</v>
      </c>
      <c r="G126" s="145">
        <f>IF(Outline!$C$14&gt;0,Gradesheet!U124,Gradesheet!AY124)</f>
        <v>0</v>
      </c>
      <c r="H126" s="146">
        <f t="shared" si="2"/>
        <v>0</v>
      </c>
    </row>
    <row r="127" spans="2:8" hidden="1" x14ac:dyDescent="0.25">
      <c r="B127" s="90">
        <f>Gradesheet!A155</f>
        <v>18</v>
      </c>
      <c r="C127" s="91">
        <f>(Gradesheet!B155)</f>
        <v>0</v>
      </c>
      <c r="D127" s="92">
        <f>IF(Outline!$C$14&gt;0,Gradesheet!AD155,Gradesheet!AK155)</f>
        <v>0</v>
      </c>
      <c r="E127" s="145">
        <f>IF(Outline!$C$14&gt;0,Gradesheet!L155,Gradesheet!AR155)</f>
        <v>0</v>
      </c>
      <c r="F127" s="145">
        <f>IF(Outline!$C$14&gt;0,Gradesheet!AZ155,"NA")</f>
        <v>0</v>
      </c>
      <c r="G127" s="145">
        <f>IF(Outline!$C$14&gt;0,Gradesheet!U125,Gradesheet!AY125)</f>
        <v>0</v>
      </c>
      <c r="H127" s="146">
        <f t="shared" si="2"/>
        <v>0</v>
      </c>
    </row>
    <row r="128" spans="2:8" hidden="1" x14ac:dyDescent="0.25">
      <c r="B128" s="90">
        <f>Gradesheet!A156</f>
        <v>19</v>
      </c>
      <c r="C128" s="91">
        <f>(Gradesheet!B156)</f>
        <v>0</v>
      </c>
      <c r="D128" s="92">
        <f>IF(Outline!$C$14&gt;0,Gradesheet!AD156,Gradesheet!AK156)</f>
        <v>0</v>
      </c>
      <c r="E128" s="145">
        <f>IF(Outline!$C$14&gt;0,Gradesheet!L156,Gradesheet!AR156)</f>
        <v>0</v>
      </c>
      <c r="F128" s="145">
        <f>IF(Outline!$C$14&gt;0,Gradesheet!AZ156,"NA")</f>
        <v>0</v>
      </c>
      <c r="G128" s="145">
        <f>IF(Outline!$C$14&gt;0,Gradesheet!U126,Gradesheet!AY126)</f>
        <v>0</v>
      </c>
      <c r="H128" s="146">
        <f t="shared" si="2"/>
        <v>0</v>
      </c>
    </row>
    <row r="129" spans="2:8" hidden="1" x14ac:dyDescent="0.25">
      <c r="B129" s="90">
        <f>Gradesheet!A157</f>
        <v>20</v>
      </c>
      <c r="C129" s="91">
        <f>(Gradesheet!B157)</f>
        <v>0</v>
      </c>
      <c r="D129" s="92">
        <f>IF(Outline!$C$14&gt;0,Gradesheet!AD157,Gradesheet!AK157)</f>
        <v>0</v>
      </c>
      <c r="E129" s="145">
        <f>IF(Outline!$C$14&gt;0,Gradesheet!L157,Gradesheet!AR157)</f>
        <v>0</v>
      </c>
      <c r="F129" s="145">
        <f>IF(Outline!$C$14&gt;0,Gradesheet!AZ157,"NA")</f>
        <v>0</v>
      </c>
      <c r="G129" s="145">
        <f>IF(Outline!$C$14&gt;0,Gradesheet!U127,Gradesheet!AY127)</f>
        <v>0</v>
      </c>
      <c r="H129" s="146">
        <f t="shared" si="2"/>
        <v>0</v>
      </c>
    </row>
    <row r="130" spans="2:8" hidden="1" x14ac:dyDescent="0.25">
      <c r="B130" s="90">
        <f>Gradesheet!A158</f>
        <v>21</v>
      </c>
      <c r="C130" s="91">
        <f>(Gradesheet!B158)</f>
        <v>0</v>
      </c>
      <c r="D130" s="92">
        <f>IF(Outline!$C$14&gt;0,Gradesheet!AD158,Gradesheet!AK158)</f>
        <v>0</v>
      </c>
      <c r="E130" s="145">
        <f>IF(Outline!$C$14&gt;0,Gradesheet!L158,Gradesheet!AR158)</f>
        <v>0</v>
      </c>
      <c r="F130" s="145">
        <f>IF(Outline!$C$14&gt;0,Gradesheet!AZ158,"NA")</f>
        <v>0</v>
      </c>
      <c r="G130" s="145">
        <f>IF(Outline!$C$14&gt;0,Gradesheet!U128,Gradesheet!AY128)</f>
        <v>0</v>
      </c>
      <c r="H130" s="146">
        <f t="shared" si="2"/>
        <v>0</v>
      </c>
    </row>
    <row r="131" spans="2:8" hidden="1" x14ac:dyDescent="0.25">
      <c r="B131" s="90">
        <f>Gradesheet!A159</f>
        <v>22</v>
      </c>
      <c r="C131" s="91">
        <f>(Gradesheet!B159)</f>
        <v>0</v>
      </c>
      <c r="D131" s="92">
        <f>IF(Outline!$C$14&gt;0,Gradesheet!AD159,Gradesheet!AK159)</f>
        <v>0</v>
      </c>
      <c r="E131" s="145">
        <f>IF(Outline!$C$14&gt;0,Gradesheet!L159,Gradesheet!AR159)</f>
        <v>0</v>
      </c>
      <c r="F131" s="145">
        <f>IF(Outline!$C$14&gt;0,Gradesheet!AZ159,"NA")</f>
        <v>0</v>
      </c>
      <c r="G131" s="145">
        <f>IF(Outline!$C$14&gt;0,Gradesheet!U129,Gradesheet!AY129)</f>
        <v>0</v>
      </c>
      <c r="H131" s="146">
        <f t="shared" si="2"/>
        <v>0</v>
      </c>
    </row>
    <row r="132" spans="2:8" hidden="1" x14ac:dyDescent="0.25">
      <c r="B132" s="90">
        <f>Gradesheet!A160</f>
        <v>23</v>
      </c>
      <c r="C132" s="91">
        <f>(Gradesheet!B160)</f>
        <v>0</v>
      </c>
      <c r="D132" s="92">
        <f>IF(Outline!$C$14&gt;0,Gradesheet!AD160,Gradesheet!AK160)</f>
        <v>0</v>
      </c>
      <c r="E132" s="145">
        <f>IF(Outline!$C$14&gt;0,Gradesheet!L160,Gradesheet!AR160)</f>
        <v>0</v>
      </c>
      <c r="F132" s="145">
        <f>IF(Outline!$C$14&gt;0,Gradesheet!AZ160,"NA")</f>
        <v>0</v>
      </c>
      <c r="G132" s="145">
        <f>IF(Outline!$C$14&gt;0,Gradesheet!U130,Gradesheet!AY130)</f>
        <v>0</v>
      </c>
      <c r="H132" s="146">
        <f t="shared" si="2"/>
        <v>0</v>
      </c>
    </row>
    <row r="133" spans="2:8" hidden="1" x14ac:dyDescent="0.25">
      <c r="B133" s="90">
        <f>Gradesheet!A161</f>
        <v>24</v>
      </c>
      <c r="C133" s="91">
        <f>(Gradesheet!B161)</f>
        <v>0</v>
      </c>
      <c r="D133" s="92">
        <f>IF(Outline!$C$14&gt;0,Gradesheet!AD161,Gradesheet!AK161)</f>
        <v>0</v>
      </c>
      <c r="E133" s="145">
        <f>IF(Outline!$C$14&gt;0,Gradesheet!L161,Gradesheet!AR161)</f>
        <v>0</v>
      </c>
      <c r="F133" s="145">
        <f>IF(Outline!$C$14&gt;0,Gradesheet!AZ161,"NA")</f>
        <v>0</v>
      </c>
      <c r="G133" s="145">
        <f>IF(Outline!$C$14&gt;0,Gradesheet!U131,Gradesheet!AY131)</f>
        <v>0</v>
      </c>
      <c r="H133" s="146">
        <f t="shared" si="2"/>
        <v>0</v>
      </c>
    </row>
    <row r="134" spans="2:8" hidden="1" x14ac:dyDescent="0.25">
      <c r="B134" s="90">
        <f>Gradesheet!A162</f>
        <v>25</v>
      </c>
      <c r="C134" s="91">
        <f>(Gradesheet!B162)</f>
        <v>0</v>
      </c>
      <c r="D134" s="92">
        <f>IF(Outline!$C$14&gt;0,Gradesheet!AD162,Gradesheet!AK162)</f>
        <v>0</v>
      </c>
      <c r="E134" s="145">
        <f>IF(Outline!$C$14&gt;0,Gradesheet!L162,Gradesheet!AR162)</f>
        <v>0</v>
      </c>
      <c r="F134" s="145">
        <f>IF(Outline!$C$14&gt;0,Gradesheet!AZ162,"NA")</f>
        <v>0</v>
      </c>
      <c r="G134" s="145">
        <f>IF(Outline!$C$14&gt;0,Gradesheet!U132,Gradesheet!AY132)</f>
        <v>0</v>
      </c>
      <c r="H134" s="146">
        <f t="shared" si="2"/>
        <v>0</v>
      </c>
    </row>
    <row r="135" spans="2:8" hidden="1" x14ac:dyDescent="0.25">
      <c r="B135" s="90">
        <f>Gradesheet!A163</f>
        <v>26</v>
      </c>
      <c r="C135" s="91">
        <f>(Gradesheet!B163)</f>
        <v>0</v>
      </c>
      <c r="D135" s="92">
        <f>IF(Outline!$C$14&gt;0,Gradesheet!AD163,Gradesheet!AK163)</f>
        <v>0</v>
      </c>
      <c r="E135" s="145">
        <f>IF(Outline!$C$14&gt;0,Gradesheet!L163,Gradesheet!AR163)</f>
        <v>0</v>
      </c>
      <c r="F135" s="145">
        <f>IF(Outline!$C$14&gt;0,Gradesheet!AZ163,"NA")</f>
        <v>0</v>
      </c>
      <c r="G135" s="145">
        <f>IF(Outline!$C$14&gt;0,Gradesheet!U133,Gradesheet!AY133)</f>
        <v>0</v>
      </c>
      <c r="H135" s="146">
        <f t="shared" ref="H135:H198" si="3">SUM(D135:G135)</f>
        <v>0</v>
      </c>
    </row>
    <row r="136" spans="2:8" hidden="1" x14ac:dyDescent="0.25">
      <c r="B136" s="90">
        <f>Gradesheet!A164</f>
        <v>27</v>
      </c>
      <c r="C136" s="91">
        <f>(Gradesheet!B164)</f>
        <v>0</v>
      </c>
      <c r="D136" s="92">
        <f>IF(Outline!$C$14&gt;0,Gradesheet!AD164,Gradesheet!AK164)</f>
        <v>0</v>
      </c>
      <c r="E136" s="145">
        <f>IF(Outline!$C$14&gt;0,Gradesheet!L164,Gradesheet!AR164)</f>
        <v>0</v>
      </c>
      <c r="F136" s="145">
        <f>IF(Outline!$C$14&gt;0,Gradesheet!AZ164,"NA")</f>
        <v>0</v>
      </c>
      <c r="G136" s="145">
        <f>IF(Outline!$C$14&gt;0,Gradesheet!U134,Gradesheet!AY134)</f>
        <v>0</v>
      </c>
      <c r="H136" s="146">
        <f t="shared" si="3"/>
        <v>0</v>
      </c>
    </row>
    <row r="137" spans="2:8" hidden="1" x14ac:dyDescent="0.25">
      <c r="B137" s="90">
        <f>Gradesheet!A165</f>
        <v>28</v>
      </c>
      <c r="C137" s="91">
        <f>(Gradesheet!B165)</f>
        <v>0</v>
      </c>
      <c r="D137" s="92">
        <f>IF(Outline!$C$14&gt;0,Gradesheet!AD165,Gradesheet!AK165)</f>
        <v>0</v>
      </c>
      <c r="E137" s="145">
        <f>IF(Outline!$C$14&gt;0,Gradesheet!L165,Gradesheet!AR165)</f>
        <v>0</v>
      </c>
      <c r="F137" s="145">
        <f>IF(Outline!$C$14&gt;0,Gradesheet!AZ165,"NA")</f>
        <v>0</v>
      </c>
      <c r="G137" s="145">
        <f>IF(Outline!$C$14&gt;0,Gradesheet!U135,Gradesheet!AY135)</f>
        <v>0</v>
      </c>
      <c r="H137" s="146">
        <f t="shared" si="3"/>
        <v>0</v>
      </c>
    </row>
    <row r="138" spans="2:8" hidden="1" x14ac:dyDescent="0.25">
      <c r="B138" s="90">
        <f>Gradesheet!A166</f>
        <v>29</v>
      </c>
      <c r="C138" s="91">
        <f>(Gradesheet!B166)</f>
        <v>0</v>
      </c>
      <c r="D138" s="92">
        <f>IF(Outline!$C$14&gt;0,Gradesheet!AD166,Gradesheet!AK166)</f>
        <v>0</v>
      </c>
      <c r="E138" s="145">
        <f>IF(Outline!$C$14&gt;0,Gradesheet!L166,Gradesheet!AR166)</f>
        <v>0</v>
      </c>
      <c r="F138" s="145">
        <f>IF(Outline!$C$14&gt;0,Gradesheet!AZ166,"NA")</f>
        <v>0</v>
      </c>
      <c r="G138" s="145">
        <f>IF(Outline!$C$14&gt;0,Gradesheet!U136,Gradesheet!AY136)</f>
        <v>0</v>
      </c>
      <c r="H138" s="146">
        <f t="shared" si="3"/>
        <v>0</v>
      </c>
    </row>
    <row r="139" spans="2:8" hidden="1" x14ac:dyDescent="0.25">
      <c r="B139" s="90">
        <f>Gradesheet!A167</f>
        <v>30</v>
      </c>
      <c r="C139" s="91">
        <f>(Gradesheet!B167)</f>
        <v>0</v>
      </c>
      <c r="D139" s="92">
        <f>IF(Outline!$C$14&gt;0,Gradesheet!AD167,Gradesheet!AK167)</f>
        <v>0</v>
      </c>
      <c r="E139" s="145">
        <f>IF(Outline!$C$14&gt;0,Gradesheet!L167,Gradesheet!AR167)</f>
        <v>0</v>
      </c>
      <c r="F139" s="145">
        <f>IF(Outline!$C$14&gt;0,Gradesheet!AZ167,"NA")</f>
        <v>0</v>
      </c>
      <c r="G139" s="145">
        <f>IF(Outline!$C$14&gt;0,Gradesheet!U137,Gradesheet!AY137)</f>
        <v>0</v>
      </c>
      <c r="H139" s="146">
        <f t="shared" si="3"/>
        <v>0</v>
      </c>
    </row>
    <row r="140" spans="2:8" hidden="1" x14ac:dyDescent="0.25">
      <c r="B140" s="90">
        <f>Gradesheet!A168</f>
        <v>31</v>
      </c>
      <c r="C140" s="91">
        <f>(Gradesheet!B168)</f>
        <v>0</v>
      </c>
      <c r="D140" s="92">
        <f>IF(Outline!$C$14&gt;0,Gradesheet!AD168,Gradesheet!AK168)</f>
        <v>0</v>
      </c>
      <c r="E140" s="145">
        <f>IF(Outline!$C$14&gt;0,Gradesheet!L168,Gradesheet!AR168)</f>
        <v>0</v>
      </c>
      <c r="F140" s="145">
        <f>IF(Outline!$C$14&gt;0,Gradesheet!AZ168,"NA")</f>
        <v>0</v>
      </c>
      <c r="G140" s="145">
        <f>IF(Outline!$C$14&gt;0,Gradesheet!U138,Gradesheet!AY138)</f>
        <v>0</v>
      </c>
      <c r="H140" s="146">
        <f t="shared" si="3"/>
        <v>0</v>
      </c>
    </row>
    <row r="141" spans="2:8" hidden="1" x14ac:dyDescent="0.25">
      <c r="B141" s="90">
        <f>Gradesheet!A169</f>
        <v>32</v>
      </c>
      <c r="C141" s="91">
        <f>(Gradesheet!B169)</f>
        <v>0</v>
      </c>
      <c r="D141" s="92">
        <f>IF(Outline!$C$14&gt;0,Gradesheet!AD169,Gradesheet!AK169)</f>
        <v>0</v>
      </c>
      <c r="E141" s="145">
        <f>IF(Outline!$C$14&gt;0,Gradesheet!L169,Gradesheet!AR169)</f>
        <v>0</v>
      </c>
      <c r="F141" s="145">
        <f>IF(Outline!$C$14&gt;0,Gradesheet!AZ169,"NA")</f>
        <v>0</v>
      </c>
      <c r="G141" s="145">
        <f>IF(Outline!$C$14&gt;0,Gradesheet!U139,Gradesheet!AY139)</f>
        <v>0</v>
      </c>
      <c r="H141" s="146">
        <f t="shared" si="3"/>
        <v>0</v>
      </c>
    </row>
    <row r="142" spans="2:8" hidden="1" x14ac:dyDescent="0.25">
      <c r="B142" s="90">
        <f>Gradesheet!A170</f>
        <v>33</v>
      </c>
      <c r="C142" s="91">
        <f>(Gradesheet!B170)</f>
        <v>0</v>
      </c>
      <c r="D142" s="92">
        <f>IF(Outline!$C$14&gt;0,Gradesheet!AD170,Gradesheet!AK170)</f>
        <v>0</v>
      </c>
      <c r="E142" s="145">
        <f>IF(Outline!$C$14&gt;0,Gradesheet!L170,Gradesheet!AR170)</f>
        <v>0</v>
      </c>
      <c r="F142" s="145">
        <f>IF(Outline!$C$14&gt;0,Gradesheet!AZ170,"NA")</f>
        <v>0</v>
      </c>
      <c r="G142" s="145">
        <f>IF(Outline!$C$14&gt;0,Gradesheet!U140,Gradesheet!AY140)</f>
        <v>0</v>
      </c>
      <c r="H142" s="146">
        <f t="shared" si="3"/>
        <v>0</v>
      </c>
    </row>
    <row r="143" spans="2:8" hidden="1" x14ac:dyDescent="0.25">
      <c r="B143" s="90">
        <f>Gradesheet!A171</f>
        <v>34</v>
      </c>
      <c r="C143" s="91">
        <f>(Gradesheet!B171)</f>
        <v>0</v>
      </c>
      <c r="D143" s="92">
        <f>IF(Outline!$C$14&gt;0,Gradesheet!AD171,Gradesheet!AK171)</f>
        <v>0</v>
      </c>
      <c r="E143" s="145">
        <f>IF(Outline!$C$14&gt;0,Gradesheet!L171,Gradesheet!AR171)</f>
        <v>0</v>
      </c>
      <c r="F143" s="145">
        <f>IF(Outline!$C$14&gt;0,Gradesheet!AZ171,"NA")</f>
        <v>0</v>
      </c>
      <c r="G143" s="145">
        <f>IF(Outline!$C$14&gt;0,Gradesheet!U141,Gradesheet!AY141)</f>
        <v>0</v>
      </c>
      <c r="H143" s="146">
        <f t="shared" si="3"/>
        <v>0</v>
      </c>
    </row>
    <row r="144" spans="2:8" hidden="1" x14ac:dyDescent="0.25">
      <c r="B144" s="90">
        <f>Gradesheet!A172</f>
        <v>35</v>
      </c>
      <c r="C144" s="91">
        <f>(Gradesheet!B172)</f>
        <v>0</v>
      </c>
      <c r="D144" s="92">
        <f>IF(Outline!$C$14&gt;0,Gradesheet!AD172,Gradesheet!AK172)</f>
        <v>0</v>
      </c>
      <c r="E144" s="145">
        <f>IF(Outline!$C$14&gt;0,Gradesheet!L172,Gradesheet!AR172)</f>
        <v>0</v>
      </c>
      <c r="F144" s="145">
        <f>IF(Outline!$C$14&gt;0,Gradesheet!AZ172,"NA")</f>
        <v>0</v>
      </c>
      <c r="G144" s="145">
        <f>IF(Outline!$C$14&gt;0,Gradesheet!U142,Gradesheet!AY142)</f>
        <v>0</v>
      </c>
      <c r="H144" s="146">
        <f t="shared" si="3"/>
        <v>0</v>
      </c>
    </row>
    <row r="145" spans="2:8" hidden="1" x14ac:dyDescent="0.25">
      <c r="B145" s="90">
        <f>Gradesheet!A173</f>
        <v>36</v>
      </c>
      <c r="C145" s="91">
        <f>(Gradesheet!B173)</f>
        <v>0</v>
      </c>
      <c r="D145" s="92">
        <f>IF(Outline!$C$14&gt;0,Gradesheet!AD173,Gradesheet!AK173)</f>
        <v>0</v>
      </c>
      <c r="E145" s="145">
        <f>IF(Outline!$C$14&gt;0,Gradesheet!L173,Gradesheet!AR173)</f>
        <v>0</v>
      </c>
      <c r="F145" s="145">
        <f>IF(Outline!$C$14&gt;0,Gradesheet!AZ173,"NA")</f>
        <v>0</v>
      </c>
      <c r="G145" s="145">
        <f>IF(Outline!$C$14&gt;0,Gradesheet!U143,Gradesheet!AY143)</f>
        <v>0</v>
      </c>
      <c r="H145" s="146">
        <f t="shared" si="3"/>
        <v>0</v>
      </c>
    </row>
    <row r="146" spans="2:8" hidden="1" x14ac:dyDescent="0.25">
      <c r="B146" s="90">
        <f>Gradesheet!A174</f>
        <v>37</v>
      </c>
      <c r="C146" s="91">
        <f>(Gradesheet!B174)</f>
        <v>0</v>
      </c>
      <c r="D146" s="92">
        <f>IF(Outline!$C$14&gt;0,Gradesheet!AD174,Gradesheet!AK174)</f>
        <v>0</v>
      </c>
      <c r="E146" s="145">
        <f>IF(Outline!$C$14&gt;0,Gradesheet!L174,Gradesheet!AR174)</f>
        <v>0</v>
      </c>
      <c r="F146" s="145">
        <f>IF(Outline!$C$14&gt;0,Gradesheet!AZ174,"NA")</f>
        <v>0</v>
      </c>
      <c r="G146" s="145">
        <f>IF(Outline!$C$14&gt;0,Gradesheet!U144,Gradesheet!AY144)</f>
        <v>0</v>
      </c>
      <c r="H146" s="146">
        <f t="shared" si="3"/>
        <v>0</v>
      </c>
    </row>
    <row r="147" spans="2:8" hidden="1" x14ac:dyDescent="0.25">
      <c r="B147" s="90">
        <f>Gradesheet!A175</f>
        <v>38</v>
      </c>
      <c r="C147" s="91">
        <f>(Gradesheet!B175)</f>
        <v>0</v>
      </c>
      <c r="D147" s="92">
        <f>IF(Outline!$C$14&gt;0,Gradesheet!AD175,Gradesheet!AK175)</f>
        <v>0</v>
      </c>
      <c r="E147" s="145">
        <f>IF(Outline!$C$14&gt;0,Gradesheet!L175,Gradesheet!AR175)</f>
        <v>0</v>
      </c>
      <c r="F147" s="145">
        <f>IF(Outline!$C$14&gt;0,Gradesheet!AZ175,"NA")</f>
        <v>0</v>
      </c>
      <c r="G147" s="145">
        <f>IF(Outline!$C$14&gt;0,Gradesheet!U145,Gradesheet!AY145)</f>
        <v>0</v>
      </c>
      <c r="H147" s="146">
        <f t="shared" si="3"/>
        <v>0</v>
      </c>
    </row>
    <row r="148" spans="2:8" hidden="1" x14ac:dyDescent="0.25">
      <c r="B148" s="90">
        <f>Gradesheet!A176</f>
        <v>39</v>
      </c>
      <c r="C148" s="91">
        <f>(Gradesheet!B176)</f>
        <v>0</v>
      </c>
      <c r="D148" s="92">
        <f>IF(Outline!$C$14&gt;0,Gradesheet!AD176,Gradesheet!AK176)</f>
        <v>0</v>
      </c>
      <c r="E148" s="145">
        <f>IF(Outline!$C$14&gt;0,Gradesheet!L176,Gradesheet!AR176)</f>
        <v>0</v>
      </c>
      <c r="F148" s="145">
        <f>IF(Outline!$C$14&gt;0,Gradesheet!AZ176,"NA")</f>
        <v>0</v>
      </c>
      <c r="G148" s="145">
        <f>IF(Outline!$C$14&gt;0,Gradesheet!U146,Gradesheet!AY146)</f>
        <v>0</v>
      </c>
      <c r="H148" s="146">
        <f t="shared" si="3"/>
        <v>0</v>
      </c>
    </row>
    <row r="149" spans="2:8" hidden="1" x14ac:dyDescent="0.25">
      <c r="B149" s="90">
        <f>Gradesheet!A177</f>
        <v>40</v>
      </c>
      <c r="C149" s="91">
        <f>(Gradesheet!B177)</f>
        <v>0</v>
      </c>
      <c r="D149" s="92">
        <f>IF(Outline!$C$14&gt;0,Gradesheet!AD177,Gradesheet!AK177)</f>
        <v>0</v>
      </c>
      <c r="E149" s="145">
        <f>IF(Outline!$C$14&gt;0,Gradesheet!L177,Gradesheet!AR177)</f>
        <v>0</v>
      </c>
      <c r="F149" s="145">
        <f>IF(Outline!$C$14&gt;0,Gradesheet!AZ177,"NA")</f>
        <v>0</v>
      </c>
      <c r="G149" s="145">
        <f>IF(Outline!$C$14&gt;0,Gradesheet!U147,Gradesheet!AY147)</f>
        <v>0</v>
      </c>
      <c r="H149" s="146">
        <f t="shared" si="3"/>
        <v>0</v>
      </c>
    </row>
    <row r="150" spans="2:8" hidden="1" x14ac:dyDescent="0.25">
      <c r="B150" s="90">
        <f>Gradesheet!A178</f>
        <v>41</v>
      </c>
      <c r="C150" s="91">
        <f>(Gradesheet!B178)</f>
        <v>0</v>
      </c>
      <c r="D150" s="92">
        <f>IF(Outline!$C$14&gt;0,Gradesheet!AD178,Gradesheet!AK178)</f>
        <v>0</v>
      </c>
      <c r="E150" s="145">
        <f>IF(Outline!$C$14&gt;0,Gradesheet!L178,Gradesheet!AR178)</f>
        <v>0</v>
      </c>
      <c r="F150" s="145">
        <f>IF(Outline!$C$14&gt;0,Gradesheet!AZ178,"NA")</f>
        <v>0</v>
      </c>
      <c r="G150" s="145">
        <f>IF(Outline!$C$14&gt;0,Gradesheet!U148,Gradesheet!AY148)</f>
        <v>0</v>
      </c>
      <c r="H150" s="146">
        <f t="shared" si="3"/>
        <v>0</v>
      </c>
    </row>
    <row r="151" spans="2:8" hidden="1" x14ac:dyDescent="0.25">
      <c r="B151" s="90">
        <f>Gradesheet!A179</f>
        <v>42</v>
      </c>
      <c r="C151" s="91">
        <f>(Gradesheet!B179)</f>
        <v>0</v>
      </c>
      <c r="D151" s="92">
        <f>IF(Outline!$C$14&gt;0,Gradesheet!AD179,Gradesheet!AK179)</f>
        <v>0</v>
      </c>
      <c r="E151" s="145">
        <f>IF(Outline!$C$14&gt;0,Gradesheet!L179,Gradesheet!AR179)</f>
        <v>0</v>
      </c>
      <c r="F151" s="145">
        <f>IF(Outline!$C$14&gt;0,Gradesheet!AZ179,"NA")</f>
        <v>0</v>
      </c>
      <c r="G151" s="145">
        <f>IF(Outline!$C$14&gt;0,Gradesheet!U149,Gradesheet!AY149)</f>
        <v>0</v>
      </c>
      <c r="H151" s="146">
        <f t="shared" si="3"/>
        <v>0</v>
      </c>
    </row>
    <row r="152" spans="2:8" hidden="1" x14ac:dyDescent="0.25">
      <c r="B152" s="90">
        <f>Gradesheet!A180</f>
        <v>0</v>
      </c>
      <c r="C152" s="91">
        <f>(Gradesheet!B180)</f>
        <v>0</v>
      </c>
      <c r="D152" s="92">
        <f>IF(Outline!$C$14&gt;0,Gradesheet!AD180,Gradesheet!AK180)</f>
        <v>0</v>
      </c>
      <c r="E152" s="145">
        <f>IF(Outline!$C$14&gt;0,Gradesheet!L180,Gradesheet!AR180)</f>
        <v>0</v>
      </c>
      <c r="F152" s="145">
        <f>IF(Outline!$C$14&gt;0,Gradesheet!AZ180,"NA")</f>
        <v>0</v>
      </c>
      <c r="G152" s="145">
        <f>IF(Outline!$C$14&gt;0,Gradesheet!U150,Gradesheet!AY150)</f>
        <v>0</v>
      </c>
      <c r="H152" s="146">
        <f t="shared" si="3"/>
        <v>0</v>
      </c>
    </row>
    <row r="153" spans="2:8" hidden="1" x14ac:dyDescent="0.25">
      <c r="B153" s="90">
        <f>Gradesheet!A181</f>
        <v>1</v>
      </c>
      <c r="C153" s="91">
        <f>(Gradesheet!B181)</f>
        <v>0</v>
      </c>
      <c r="D153" s="92">
        <f>IF(Outline!$C$14&gt;0,Gradesheet!AD181,Gradesheet!AK181)</f>
        <v>0</v>
      </c>
      <c r="E153" s="145">
        <f>IF(Outline!$C$14&gt;0,Gradesheet!L181,Gradesheet!AR181)</f>
        <v>0</v>
      </c>
      <c r="F153" s="145">
        <f>IF(Outline!$C$14&gt;0,Gradesheet!AZ181,"NA")</f>
        <v>0</v>
      </c>
      <c r="G153" s="145">
        <f>IF(Outline!$C$14&gt;0,Gradesheet!U151,Gradesheet!AY151)</f>
        <v>0</v>
      </c>
      <c r="H153" s="146">
        <f t="shared" si="3"/>
        <v>0</v>
      </c>
    </row>
    <row r="154" spans="2:8" hidden="1" x14ac:dyDescent="0.25">
      <c r="B154" s="90">
        <f>Gradesheet!A182</f>
        <v>2</v>
      </c>
      <c r="C154" s="91">
        <f>(Gradesheet!B182)</f>
        <v>0</v>
      </c>
      <c r="D154" s="92">
        <f>IF(Outline!$C$14&gt;0,Gradesheet!AD182,Gradesheet!AK182)</f>
        <v>0</v>
      </c>
      <c r="E154" s="145">
        <f>IF(Outline!$C$14&gt;0,Gradesheet!L182,Gradesheet!AR182)</f>
        <v>0</v>
      </c>
      <c r="F154" s="145">
        <f>IF(Outline!$C$14&gt;0,Gradesheet!AZ182,"NA")</f>
        <v>0</v>
      </c>
      <c r="G154" s="145">
        <f>IF(Outline!$C$14&gt;0,Gradesheet!U152,Gradesheet!AY152)</f>
        <v>0</v>
      </c>
      <c r="H154" s="146">
        <f t="shared" si="3"/>
        <v>0</v>
      </c>
    </row>
    <row r="155" spans="2:8" hidden="1" x14ac:dyDescent="0.25">
      <c r="B155" s="90">
        <f>Gradesheet!A183</f>
        <v>3</v>
      </c>
      <c r="C155" s="91">
        <f>(Gradesheet!B183)</f>
        <v>0</v>
      </c>
      <c r="D155" s="92">
        <f>IF(Outline!$C$14&gt;0,Gradesheet!AD183,Gradesheet!AK183)</f>
        <v>0</v>
      </c>
      <c r="E155" s="145">
        <f>IF(Outline!$C$14&gt;0,Gradesheet!L183,Gradesheet!AR183)</f>
        <v>0</v>
      </c>
      <c r="F155" s="145">
        <f>IF(Outline!$C$14&gt;0,Gradesheet!AZ183,"NA")</f>
        <v>0</v>
      </c>
      <c r="G155" s="145">
        <f>IF(Outline!$C$14&gt;0,Gradesheet!U153,Gradesheet!AY153)</f>
        <v>0</v>
      </c>
      <c r="H155" s="146">
        <f t="shared" si="3"/>
        <v>0</v>
      </c>
    </row>
    <row r="156" spans="2:8" hidden="1" x14ac:dyDescent="0.25">
      <c r="B156" s="90">
        <f>Gradesheet!A184</f>
        <v>4</v>
      </c>
      <c r="C156" s="91">
        <f>(Gradesheet!B184)</f>
        <v>0</v>
      </c>
      <c r="D156" s="92">
        <f>IF(Outline!$C$14&gt;0,Gradesheet!AD184,Gradesheet!AK184)</f>
        <v>0</v>
      </c>
      <c r="E156" s="145">
        <f>IF(Outline!$C$14&gt;0,Gradesheet!L184,Gradesheet!AR184)</f>
        <v>0</v>
      </c>
      <c r="F156" s="145">
        <f>IF(Outline!$C$14&gt;0,Gradesheet!AZ184,"NA")</f>
        <v>0</v>
      </c>
      <c r="G156" s="145">
        <f>IF(Outline!$C$14&gt;0,Gradesheet!U154,Gradesheet!AY154)</f>
        <v>0</v>
      </c>
      <c r="H156" s="146">
        <f t="shared" si="3"/>
        <v>0</v>
      </c>
    </row>
    <row r="157" spans="2:8" hidden="1" x14ac:dyDescent="0.25">
      <c r="B157" s="90">
        <f>Gradesheet!A185</f>
        <v>5</v>
      </c>
      <c r="C157" s="91">
        <f>(Gradesheet!B185)</f>
        <v>0</v>
      </c>
      <c r="D157" s="92">
        <f>IF(Outline!$C$14&gt;0,Gradesheet!AD185,Gradesheet!AK185)</f>
        <v>0</v>
      </c>
      <c r="E157" s="145">
        <f>IF(Outline!$C$14&gt;0,Gradesheet!L185,Gradesheet!AR185)</f>
        <v>0</v>
      </c>
      <c r="F157" s="145">
        <f>IF(Outline!$C$14&gt;0,Gradesheet!AZ185,"NA")</f>
        <v>0</v>
      </c>
      <c r="G157" s="145">
        <f>IF(Outline!$C$14&gt;0,Gradesheet!U155,Gradesheet!AY155)</f>
        <v>0</v>
      </c>
      <c r="H157" s="146">
        <f t="shared" si="3"/>
        <v>0</v>
      </c>
    </row>
    <row r="158" spans="2:8" hidden="1" x14ac:dyDescent="0.25">
      <c r="B158" s="90">
        <f>Gradesheet!A186</f>
        <v>6</v>
      </c>
      <c r="C158" s="91">
        <f>(Gradesheet!B186)</f>
        <v>0</v>
      </c>
      <c r="D158" s="92">
        <f>IF(Outline!$C$14&gt;0,Gradesheet!AD186,Gradesheet!AK186)</f>
        <v>0</v>
      </c>
      <c r="E158" s="145">
        <f>IF(Outline!$C$14&gt;0,Gradesheet!L186,Gradesheet!AR186)</f>
        <v>0</v>
      </c>
      <c r="F158" s="145">
        <f>IF(Outline!$C$14&gt;0,Gradesheet!AZ186,"NA")</f>
        <v>0</v>
      </c>
      <c r="G158" s="145">
        <f>IF(Outline!$C$14&gt;0,Gradesheet!U156,Gradesheet!AY156)</f>
        <v>0</v>
      </c>
      <c r="H158" s="146">
        <f t="shared" si="3"/>
        <v>0</v>
      </c>
    </row>
    <row r="159" spans="2:8" hidden="1" x14ac:dyDescent="0.25">
      <c r="B159" s="90">
        <f>Gradesheet!A187</f>
        <v>7</v>
      </c>
      <c r="C159" s="91">
        <f>(Gradesheet!B187)</f>
        <v>0</v>
      </c>
      <c r="D159" s="92">
        <f>IF(Outline!$C$14&gt;0,Gradesheet!AD187,Gradesheet!AK187)</f>
        <v>0</v>
      </c>
      <c r="E159" s="145">
        <f>IF(Outline!$C$14&gt;0,Gradesheet!L187,Gradesheet!AR187)</f>
        <v>0</v>
      </c>
      <c r="F159" s="145">
        <f>IF(Outline!$C$14&gt;0,Gradesheet!AZ187,"NA")</f>
        <v>0</v>
      </c>
      <c r="G159" s="145">
        <f>IF(Outline!$C$14&gt;0,Gradesheet!U157,Gradesheet!AY157)</f>
        <v>0</v>
      </c>
      <c r="H159" s="146">
        <f t="shared" si="3"/>
        <v>0</v>
      </c>
    </row>
    <row r="160" spans="2:8" hidden="1" x14ac:dyDescent="0.25">
      <c r="B160" s="90">
        <f>Gradesheet!A188</f>
        <v>8</v>
      </c>
      <c r="C160" s="91">
        <f>(Gradesheet!B188)</f>
        <v>0</v>
      </c>
      <c r="D160" s="92">
        <f>IF(Outline!$C$14&gt;0,Gradesheet!AD188,Gradesheet!AK188)</f>
        <v>0</v>
      </c>
      <c r="E160" s="145">
        <f>IF(Outline!$C$14&gt;0,Gradesheet!L188,Gradesheet!AR188)</f>
        <v>0</v>
      </c>
      <c r="F160" s="145">
        <f>IF(Outline!$C$14&gt;0,Gradesheet!AZ188,"NA")</f>
        <v>0</v>
      </c>
      <c r="G160" s="145">
        <f>IF(Outline!$C$14&gt;0,Gradesheet!U158,Gradesheet!AY158)</f>
        <v>0</v>
      </c>
      <c r="H160" s="146">
        <f t="shared" si="3"/>
        <v>0</v>
      </c>
    </row>
    <row r="161" spans="2:8" hidden="1" x14ac:dyDescent="0.25">
      <c r="B161" s="90">
        <f>Gradesheet!A189</f>
        <v>9</v>
      </c>
      <c r="C161" s="91">
        <f>(Gradesheet!B189)</f>
        <v>0</v>
      </c>
      <c r="D161" s="92">
        <f>IF(Outline!$C$14&gt;0,Gradesheet!AD189,Gradesheet!AK189)</f>
        <v>0</v>
      </c>
      <c r="E161" s="145">
        <f>IF(Outline!$C$14&gt;0,Gradesheet!L189,Gradesheet!AR189)</f>
        <v>0</v>
      </c>
      <c r="F161" s="145">
        <f>IF(Outline!$C$14&gt;0,Gradesheet!AZ189,"NA")</f>
        <v>0</v>
      </c>
      <c r="G161" s="145">
        <f>IF(Outline!$C$14&gt;0,Gradesheet!U159,Gradesheet!AY159)</f>
        <v>0</v>
      </c>
      <c r="H161" s="146">
        <f t="shared" si="3"/>
        <v>0</v>
      </c>
    </row>
    <row r="162" spans="2:8" hidden="1" x14ac:dyDescent="0.25">
      <c r="B162" s="90">
        <f>Gradesheet!A190</f>
        <v>10</v>
      </c>
      <c r="C162" s="91">
        <f>(Gradesheet!B190)</f>
        <v>0</v>
      </c>
      <c r="D162" s="92">
        <f>IF(Outline!$C$14&gt;0,Gradesheet!AD190,Gradesheet!AK190)</f>
        <v>0</v>
      </c>
      <c r="E162" s="145">
        <f>IF(Outline!$C$14&gt;0,Gradesheet!L190,Gradesheet!AR190)</f>
        <v>0</v>
      </c>
      <c r="F162" s="145">
        <f>IF(Outline!$C$14&gt;0,Gradesheet!AZ190,"NA")</f>
        <v>0</v>
      </c>
      <c r="G162" s="145">
        <f>IF(Outline!$C$14&gt;0,Gradesheet!U160,Gradesheet!AY160)</f>
        <v>0</v>
      </c>
      <c r="H162" s="146">
        <f t="shared" si="3"/>
        <v>0</v>
      </c>
    </row>
    <row r="163" spans="2:8" hidden="1" x14ac:dyDescent="0.25">
      <c r="B163" s="90">
        <f>Gradesheet!A191</f>
        <v>11</v>
      </c>
      <c r="C163" s="91">
        <f>(Gradesheet!B191)</f>
        <v>0</v>
      </c>
      <c r="D163" s="92">
        <f>IF(Outline!$C$14&gt;0,Gradesheet!AD191,Gradesheet!AK191)</f>
        <v>0</v>
      </c>
      <c r="E163" s="145">
        <f>IF(Outline!$C$14&gt;0,Gradesheet!L191,Gradesheet!AR191)</f>
        <v>0</v>
      </c>
      <c r="F163" s="145">
        <f>IF(Outline!$C$14&gt;0,Gradesheet!AZ191,"NA")</f>
        <v>0</v>
      </c>
      <c r="G163" s="145">
        <f>IF(Outline!$C$14&gt;0,Gradesheet!U161,Gradesheet!AY161)</f>
        <v>0</v>
      </c>
      <c r="H163" s="146">
        <f t="shared" si="3"/>
        <v>0</v>
      </c>
    </row>
    <row r="164" spans="2:8" hidden="1" x14ac:dyDescent="0.25">
      <c r="B164" s="90">
        <f>Gradesheet!A192</f>
        <v>12</v>
      </c>
      <c r="C164" s="91">
        <f>(Gradesheet!B192)</f>
        <v>0</v>
      </c>
      <c r="D164" s="92">
        <f>IF(Outline!$C$14&gt;0,Gradesheet!AD192,Gradesheet!AK192)</f>
        <v>0</v>
      </c>
      <c r="E164" s="145">
        <f>IF(Outline!$C$14&gt;0,Gradesheet!L192,Gradesheet!AR192)</f>
        <v>0</v>
      </c>
      <c r="F164" s="145">
        <f>IF(Outline!$C$14&gt;0,Gradesheet!AZ192,"NA")</f>
        <v>0</v>
      </c>
      <c r="G164" s="145">
        <f>IF(Outline!$C$14&gt;0,Gradesheet!U162,Gradesheet!AY162)</f>
        <v>0</v>
      </c>
      <c r="H164" s="146">
        <f t="shared" si="3"/>
        <v>0</v>
      </c>
    </row>
    <row r="165" spans="2:8" hidden="1" x14ac:dyDescent="0.25">
      <c r="B165" s="90">
        <f>Gradesheet!A193</f>
        <v>13</v>
      </c>
      <c r="C165" s="91">
        <f>(Gradesheet!B193)</f>
        <v>0</v>
      </c>
      <c r="D165" s="92">
        <f>IF(Outline!$C$14&gt;0,Gradesheet!AD193,Gradesheet!AK193)</f>
        <v>0</v>
      </c>
      <c r="E165" s="145">
        <f>IF(Outline!$C$14&gt;0,Gradesheet!L193,Gradesheet!AR193)</f>
        <v>0</v>
      </c>
      <c r="F165" s="145">
        <f>IF(Outline!$C$14&gt;0,Gradesheet!AZ193,"NA")</f>
        <v>0</v>
      </c>
      <c r="G165" s="145">
        <f>IF(Outline!$C$14&gt;0,Gradesheet!U163,Gradesheet!AY163)</f>
        <v>0</v>
      </c>
      <c r="H165" s="146">
        <f t="shared" si="3"/>
        <v>0</v>
      </c>
    </row>
    <row r="166" spans="2:8" hidden="1" x14ac:dyDescent="0.25">
      <c r="B166" s="90">
        <f>Gradesheet!A194</f>
        <v>14</v>
      </c>
      <c r="C166" s="91">
        <f>(Gradesheet!B194)</f>
        <v>0</v>
      </c>
      <c r="D166" s="92">
        <f>IF(Outline!$C$14&gt;0,Gradesheet!AD194,Gradesheet!AK194)</f>
        <v>0</v>
      </c>
      <c r="E166" s="145">
        <f>IF(Outline!$C$14&gt;0,Gradesheet!L194,Gradesheet!AR194)</f>
        <v>0</v>
      </c>
      <c r="F166" s="145">
        <f>IF(Outline!$C$14&gt;0,Gradesheet!AZ194,"NA")</f>
        <v>0</v>
      </c>
      <c r="G166" s="145">
        <f>IF(Outline!$C$14&gt;0,Gradesheet!U164,Gradesheet!AY164)</f>
        <v>0</v>
      </c>
      <c r="H166" s="146">
        <f t="shared" si="3"/>
        <v>0</v>
      </c>
    </row>
    <row r="167" spans="2:8" hidden="1" x14ac:dyDescent="0.25">
      <c r="B167" s="90">
        <f>Gradesheet!A195</f>
        <v>15</v>
      </c>
      <c r="C167" s="91">
        <f>(Gradesheet!B195)</f>
        <v>0</v>
      </c>
      <c r="D167" s="92">
        <f>IF(Outline!$C$14&gt;0,Gradesheet!AD195,Gradesheet!AK195)</f>
        <v>0</v>
      </c>
      <c r="E167" s="145">
        <f>IF(Outline!$C$14&gt;0,Gradesheet!L195,Gradesheet!AR195)</f>
        <v>0</v>
      </c>
      <c r="F167" s="145">
        <f>IF(Outline!$C$14&gt;0,Gradesheet!AZ195,"NA")</f>
        <v>0</v>
      </c>
      <c r="G167" s="145">
        <f>IF(Outline!$C$14&gt;0,Gradesheet!U165,Gradesheet!AY165)</f>
        <v>0</v>
      </c>
      <c r="H167" s="146">
        <f t="shared" si="3"/>
        <v>0</v>
      </c>
    </row>
    <row r="168" spans="2:8" hidden="1" x14ac:dyDescent="0.25">
      <c r="B168" s="90">
        <f>Gradesheet!A196</f>
        <v>16</v>
      </c>
      <c r="C168" s="91">
        <f>(Gradesheet!B196)</f>
        <v>0</v>
      </c>
      <c r="D168" s="92">
        <f>IF(Outline!$C$14&gt;0,Gradesheet!AD196,Gradesheet!AK196)</f>
        <v>0</v>
      </c>
      <c r="E168" s="145">
        <f>IF(Outline!$C$14&gt;0,Gradesheet!L196,Gradesheet!AR196)</f>
        <v>0</v>
      </c>
      <c r="F168" s="145">
        <f>IF(Outline!$C$14&gt;0,Gradesheet!AZ196,"NA")</f>
        <v>0</v>
      </c>
      <c r="G168" s="145">
        <f>IF(Outline!$C$14&gt;0,Gradesheet!U166,Gradesheet!AY166)</f>
        <v>0</v>
      </c>
      <c r="H168" s="146">
        <f t="shared" si="3"/>
        <v>0</v>
      </c>
    </row>
    <row r="169" spans="2:8" hidden="1" x14ac:dyDescent="0.25">
      <c r="B169" s="90">
        <f>Gradesheet!A197</f>
        <v>17</v>
      </c>
      <c r="C169" s="91">
        <f>(Gradesheet!B197)</f>
        <v>0</v>
      </c>
      <c r="D169" s="92">
        <f>IF(Outline!$C$14&gt;0,Gradesheet!AD197,Gradesheet!AK197)</f>
        <v>0</v>
      </c>
      <c r="E169" s="145">
        <f>IF(Outline!$C$14&gt;0,Gradesheet!L197,Gradesheet!AR197)</f>
        <v>0</v>
      </c>
      <c r="F169" s="145">
        <f>IF(Outline!$C$14&gt;0,Gradesheet!AZ197,"NA")</f>
        <v>0</v>
      </c>
      <c r="G169" s="145">
        <f>IF(Outline!$C$14&gt;0,Gradesheet!U167,Gradesheet!AY167)</f>
        <v>0</v>
      </c>
      <c r="H169" s="146">
        <f t="shared" si="3"/>
        <v>0</v>
      </c>
    </row>
    <row r="170" spans="2:8" hidden="1" x14ac:dyDescent="0.25">
      <c r="B170" s="90">
        <f>Gradesheet!A198</f>
        <v>18</v>
      </c>
      <c r="C170" s="91">
        <f>(Gradesheet!B198)</f>
        <v>0</v>
      </c>
      <c r="D170" s="92">
        <f>IF(Outline!$C$14&gt;0,Gradesheet!AD198,Gradesheet!AK198)</f>
        <v>0</v>
      </c>
      <c r="E170" s="145">
        <f>IF(Outline!$C$14&gt;0,Gradesheet!L198,Gradesheet!AR198)</f>
        <v>0</v>
      </c>
      <c r="F170" s="145">
        <f>IF(Outline!$C$14&gt;0,Gradesheet!AZ198,"NA")</f>
        <v>0</v>
      </c>
      <c r="G170" s="145">
        <f>IF(Outline!$C$14&gt;0,Gradesheet!U168,Gradesheet!AY168)</f>
        <v>0</v>
      </c>
      <c r="H170" s="146">
        <f t="shared" si="3"/>
        <v>0</v>
      </c>
    </row>
    <row r="171" spans="2:8" hidden="1" x14ac:dyDescent="0.25">
      <c r="B171" s="90">
        <f>Gradesheet!A199</f>
        <v>19</v>
      </c>
      <c r="C171" s="91">
        <f>(Gradesheet!B199)</f>
        <v>0</v>
      </c>
      <c r="D171" s="92">
        <f>IF(Outline!$C$14&gt;0,Gradesheet!AD199,Gradesheet!AK199)</f>
        <v>0</v>
      </c>
      <c r="E171" s="145">
        <f>IF(Outline!$C$14&gt;0,Gradesheet!L199,Gradesheet!AR199)</f>
        <v>0</v>
      </c>
      <c r="F171" s="145">
        <f>IF(Outline!$C$14&gt;0,Gradesheet!AZ199,"NA")</f>
        <v>0</v>
      </c>
      <c r="G171" s="145">
        <f>IF(Outline!$C$14&gt;0,Gradesheet!U169,Gradesheet!AY169)</f>
        <v>0</v>
      </c>
      <c r="H171" s="146">
        <f t="shared" si="3"/>
        <v>0</v>
      </c>
    </row>
    <row r="172" spans="2:8" hidden="1" x14ac:dyDescent="0.25">
      <c r="B172" s="90">
        <f>Gradesheet!A200</f>
        <v>20</v>
      </c>
      <c r="C172" s="91">
        <f>(Gradesheet!B200)</f>
        <v>0</v>
      </c>
      <c r="D172" s="92">
        <f>IF(Outline!$C$14&gt;0,Gradesheet!AD200,Gradesheet!AK200)</f>
        <v>0</v>
      </c>
      <c r="E172" s="145">
        <f>IF(Outline!$C$14&gt;0,Gradesheet!L200,Gradesheet!AR200)</f>
        <v>0</v>
      </c>
      <c r="F172" s="145">
        <f>IF(Outline!$C$14&gt;0,Gradesheet!AZ200,"NA")</f>
        <v>0</v>
      </c>
      <c r="G172" s="145">
        <f>IF(Outline!$C$14&gt;0,Gradesheet!U170,Gradesheet!AY170)</f>
        <v>0</v>
      </c>
      <c r="H172" s="146">
        <f t="shared" si="3"/>
        <v>0</v>
      </c>
    </row>
    <row r="173" spans="2:8" hidden="1" x14ac:dyDescent="0.25">
      <c r="B173" s="90">
        <f>Gradesheet!A201</f>
        <v>21</v>
      </c>
      <c r="C173" s="91">
        <f>(Gradesheet!B201)</f>
        <v>0</v>
      </c>
      <c r="D173" s="92">
        <f>IF(Outline!$C$14&gt;0,Gradesheet!AD201,Gradesheet!AK201)</f>
        <v>0</v>
      </c>
      <c r="E173" s="145">
        <f>IF(Outline!$C$14&gt;0,Gradesheet!L201,Gradesheet!AR201)</f>
        <v>0</v>
      </c>
      <c r="F173" s="145">
        <f>IF(Outline!$C$14&gt;0,Gradesheet!AZ201,"NA")</f>
        <v>0</v>
      </c>
      <c r="G173" s="145">
        <f>IF(Outline!$C$14&gt;0,Gradesheet!U171,Gradesheet!AY171)</f>
        <v>0</v>
      </c>
      <c r="H173" s="146">
        <f t="shared" si="3"/>
        <v>0</v>
      </c>
    </row>
    <row r="174" spans="2:8" hidden="1" x14ac:dyDescent="0.25">
      <c r="B174" s="90">
        <f>Gradesheet!A202</f>
        <v>22</v>
      </c>
      <c r="C174" s="91">
        <f>(Gradesheet!B202)</f>
        <v>0</v>
      </c>
      <c r="D174" s="92">
        <f>IF(Outline!$C$14&gt;0,Gradesheet!AD202,Gradesheet!AK202)</f>
        <v>0</v>
      </c>
      <c r="E174" s="145">
        <f>IF(Outline!$C$14&gt;0,Gradesheet!L202,Gradesheet!AR202)</f>
        <v>0</v>
      </c>
      <c r="F174" s="145">
        <f>IF(Outline!$C$14&gt;0,Gradesheet!AZ202,"NA")</f>
        <v>0</v>
      </c>
      <c r="G174" s="145">
        <f>IF(Outline!$C$14&gt;0,Gradesheet!U172,Gradesheet!AY172)</f>
        <v>0</v>
      </c>
      <c r="H174" s="146">
        <f t="shared" si="3"/>
        <v>0</v>
      </c>
    </row>
    <row r="175" spans="2:8" hidden="1" x14ac:dyDescent="0.25">
      <c r="B175" s="90">
        <f>Gradesheet!A203</f>
        <v>23</v>
      </c>
      <c r="C175" s="91">
        <f>(Gradesheet!B203)</f>
        <v>0</v>
      </c>
      <c r="D175" s="92">
        <f>IF(Outline!$C$14&gt;0,Gradesheet!AD203,Gradesheet!AK203)</f>
        <v>0</v>
      </c>
      <c r="E175" s="145">
        <f>IF(Outline!$C$14&gt;0,Gradesheet!L203,Gradesheet!AR203)</f>
        <v>0</v>
      </c>
      <c r="F175" s="145">
        <f>IF(Outline!$C$14&gt;0,Gradesheet!AZ203,"NA")</f>
        <v>0</v>
      </c>
      <c r="G175" s="145">
        <f>IF(Outline!$C$14&gt;0,Gradesheet!U173,Gradesheet!AY173)</f>
        <v>0</v>
      </c>
      <c r="H175" s="146">
        <f t="shared" si="3"/>
        <v>0</v>
      </c>
    </row>
    <row r="176" spans="2:8" hidden="1" x14ac:dyDescent="0.25">
      <c r="B176" s="90">
        <f>Gradesheet!A204</f>
        <v>24</v>
      </c>
      <c r="C176" s="91">
        <f>(Gradesheet!B204)</f>
        <v>0</v>
      </c>
      <c r="D176" s="92">
        <f>IF(Outline!$C$14&gt;0,Gradesheet!AD204,Gradesheet!AK204)</f>
        <v>0</v>
      </c>
      <c r="E176" s="145">
        <f>IF(Outline!$C$14&gt;0,Gradesheet!L204,Gradesheet!AR204)</f>
        <v>0</v>
      </c>
      <c r="F176" s="145">
        <f>IF(Outline!$C$14&gt;0,Gradesheet!AZ204,"NA")</f>
        <v>0</v>
      </c>
      <c r="G176" s="145">
        <f>IF(Outline!$C$14&gt;0,Gradesheet!U174,Gradesheet!AY174)</f>
        <v>0</v>
      </c>
      <c r="H176" s="146">
        <f t="shared" si="3"/>
        <v>0</v>
      </c>
    </row>
    <row r="177" spans="2:8" hidden="1" x14ac:dyDescent="0.25">
      <c r="B177" s="90">
        <f>Gradesheet!A205</f>
        <v>25</v>
      </c>
      <c r="C177" s="91">
        <f>(Gradesheet!B205)</f>
        <v>0</v>
      </c>
      <c r="D177" s="92">
        <f>IF(Outline!$C$14&gt;0,Gradesheet!AD205,Gradesheet!AK205)</f>
        <v>0</v>
      </c>
      <c r="E177" s="145">
        <f>IF(Outline!$C$14&gt;0,Gradesheet!L205,Gradesheet!AR205)</f>
        <v>0</v>
      </c>
      <c r="F177" s="145">
        <f>IF(Outline!$C$14&gt;0,Gradesheet!AZ205,"NA")</f>
        <v>0</v>
      </c>
      <c r="G177" s="145">
        <f>IF(Outline!$C$14&gt;0,Gradesheet!U175,Gradesheet!AY175)</f>
        <v>0</v>
      </c>
      <c r="H177" s="146">
        <f t="shared" si="3"/>
        <v>0</v>
      </c>
    </row>
    <row r="178" spans="2:8" hidden="1" x14ac:dyDescent="0.25">
      <c r="B178" s="90">
        <f>Gradesheet!A206</f>
        <v>26</v>
      </c>
      <c r="C178" s="91">
        <f>(Gradesheet!B206)</f>
        <v>0</v>
      </c>
      <c r="D178" s="92">
        <f>IF(Outline!$C$14&gt;0,Gradesheet!AD206,Gradesheet!AK206)</f>
        <v>0</v>
      </c>
      <c r="E178" s="145">
        <f>IF(Outline!$C$14&gt;0,Gradesheet!L206,Gradesheet!AR206)</f>
        <v>0</v>
      </c>
      <c r="F178" s="145">
        <f>IF(Outline!$C$14&gt;0,Gradesheet!AZ206,"NA")</f>
        <v>0</v>
      </c>
      <c r="G178" s="145">
        <f>IF(Outline!$C$14&gt;0,Gradesheet!U176,Gradesheet!AY176)</f>
        <v>0</v>
      </c>
      <c r="H178" s="146">
        <f t="shared" si="3"/>
        <v>0</v>
      </c>
    </row>
    <row r="179" spans="2:8" hidden="1" x14ac:dyDescent="0.25">
      <c r="B179" s="90">
        <f>Gradesheet!A207</f>
        <v>27</v>
      </c>
      <c r="C179" s="91">
        <f>(Gradesheet!B207)</f>
        <v>0</v>
      </c>
      <c r="D179" s="92">
        <f>IF(Outline!$C$14&gt;0,Gradesheet!AD207,Gradesheet!AK207)</f>
        <v>0</v>
      </c>
      <c r="E179" s="145">
        <f>IF(Outline!$C$14&gt;0,Gradesheet!L207,Gradesheet!AR207)</f>
        <v>0</v>
      </c>
      <c r="F179" s="145">
        <f>IF(Outline!$C$14&gt;0,Gradesheet!AZ207,"NA")</f>
        <v>0</v>
      </c>
      <c r="G179" s="145">
        <f>IF(Outline!$C$14&gt;0,Gradesheet!U177,Gradesheet!AY177)</f>
        <v>0</v>
      </c>
      <c r="H179" s="146">
        <f t="shared" si="3"/>
        <v>0</v>
      </c>
    </row>
    <row r="180" spans="2:8" hidden="1" x14ac:dyDescent="0.25">
      <c r="B180" s="90">
        <f>Gradesheet!A208</f>
        <v>28</v>
      </c>
      <c r="C180" s="91">
        <f>(Gradesheet!B208)</f>
        <v>0</v>
      </c>
      <c r="D180" s="92">
        <f>IF(Outline!$C$14&gt;0,Gradesheet!AD208,Gradesheet!AK208)</f>
        <v>0</v>
      </c>
      <c r="E180" s="145">
        <f>IF(Outline!$C$14&gt;0,Gradesheet!L208,Gradesheet!AR208)</f>
        <v>0</v>
      </c>
      <c r="F180" s="145">
        <f>IF(Outline!$C$14&gt;0,Gradesheet!AZ208,"NA")</f>
        <v>0</v>
      </c>
      <c r="G180" s="145">
        <f>IF(Outline!$C$14&gt;0,Gradesheet!U178,Gradesheet!AY178)</f>
        <v>0</v>
      </c>
      <c r="H180" s="146">
        <f t="shared" si="3"/>
        <v>0</v>
      </c>
    </row>
    <row r="181" spans="2:8" hidden="1" x14ac:dyDescent="0.25">
      <c r="B181" s="90">
        <f>Gradesheet!A209</f>
        <v>29</v>
      </c>
      <c r="C181" s="91">
        <f>(Gradesheet!B209)</f>
        <v>0</v>
      </c>
      <c r="D181" s="92">
        <f>IF(Outline!$C$14&gt;0,Gradesheet!AD209,Gradesheet!AK209)</f>
        <v>0</v>
      </c>
      <c r="E181" s="145">
        <f>IF(Outline!$C$14&gt;0,Gradesheet!L209,Gradesheet!AR209)</f>
        <v>0</v>
      </c>
      <c r="F181" s="145">
        <f>IF(Outline!$C$14&gt;0,Gradesheet!AZ209,"NA")</f>
        <v>0</v>
      </c>
      <c r="G181" s="145">
        <f>IF(Outline!$C$14&gt;0,Gradesheet!U179,Gradesheet!AY179)</f>
        <v>0</v>
      </c>
      <c r="H181" s="146">
        <f t="shared" si="3"/>
        <v>0</v>
      </c>
    </row>
    <row r="182" spans="2:8" hidden="1" x14ac:dyDescent="0.25">
      <c r="B182" s="90">
        <f>Gradesheet!A210</f>
        <v>30</v>
      </c>
      <c r="C182" s="91">
        <f>(Gradesheet!B210)</f>
        <v>0</v>
      </c>
      <c r="D182" s="92">
        <f>IF(Outline!$C$14&gt;0,Gradesheet!AD210,Gradesheet!AK210)</f>
        <v>0</v>
      </c>
      <c r="E182" s="145">
        <f>IF(Outline!$C$14&gt;0,Gradesheet!L210,Gradesheet!AR210)</f>
        <v>0</v>
      </c>
      <c r="F182" s="145">
        <f>IF(Outline!$C$14&gt;0,Gradesheet!AZ210,"NA")</f>
        <v>0</v>
      </c>
      <c r="G182" s="145">
        <f>IF(Outline!$C$14&gt;0,Gradesheet!U180,Gradesheet!AY180)</f>
        <v>0</v>
      </c>
      <c r="H182" s="146">
        <f t="shared" si="3"/>
        <v>0</v>
      </c>
    </row>
    <row r="183" spans="2:8" hidden="1" x14ac:dyDescent="0.25">
      <c r="B183" s="90">
        <f>Gradesheet!A211</f>
        <v>31</v>
      </c>
      <c r="C183" s="91">
        <f>(Gradesheet!B211)</f>
        <v>0</v>
      </c>
      <c r="D183" s="92">
        <f>IF(Outline!$C$14&gt;0,Gradesheet!AD211,Gradesheet!AK211)</f>
        <v>0</v>
      </c>
      <c r="E183" s="145">
        <f>IF(Outline!$C$14&gt;0,Gradesheet!L211,Gradesheet!AR211)</f>
        <v>0</v>
      </c>
      <c r="F183" s="145">
        <f>IF(Outline!$C$14&gt;0,Gradesheet!AZ211,"NA")</f>
        <v>0</v>
      </c>
      <c r="G183" s="145">
        <f>IF(Outline!$C$14&gt;0,Gradesheet!U181,Gradesheet!AY181)</f>
        <v>0</v>
      </c>
      <c r="H183" s="146">
        <f t="shared" si="3"/>
        <v>0</v>
      </c>
    </row>
    <row r="184" spans="2:8" hidden="1" x14ac:dyDescent="0.25">
      <c r="B184" s="90">
        <f>Gradesheet!A212</f>
        <v>32</v>
      </c>
      <c r="C184" s="91">
        <f>(Gradesheet!B212)</f>
        <v>0</v>
      </c>
      <c r="D184" s="92">
        <f>IF(Outline!$C$14&gt;0,Gradesheet!AD212,Gradesheet!AK212)</f>
        <v>0</v>
      </c>
      <c r="E184" s="145">
        <f>IF(Outline!$C$14&gt;0,Gradesheet!L212,Gradesheet!AR212)</f>
        <v>0</v>
      </c>
      <c r="F184" s="145">
        <f>IF(Outline!$C$14&gt;0,Gradesheet!AZ212,"NA")</f>
        <v>0</v>
      </c>
      <c r="G184" s="145">
        <f>IF(Outline!$C$14&gt;0,Gradesheet!U182,Gradesheet!AY182)</f>
        <v>0</v>
      </c>
      <c r="H184" s="146">
        <f t="shared" si="3"/>
        <v>0</v>
      </c>
    </row>
    <row r="185" spans="2:8" hidden="1" x14ac:dyDescent="0.25">
      <c r="B185" s="90">
        <f>Gradesheet!A213</f>
        <v>33</v>
      </c>
      <c r="C185" s="91">
        <f>(Gradesheet!B213)</f>
        <v>0</v>
      </c>
      <c r="D185" s="92">
        <f>IF(Outline!$C$14&gt;0,Gradesheet!AD213,Gradesheet!AK213)</f>
        <v>0</v>
      </c>
      <c r="E185" s="145">
        <f>IF(Outline!$C$14&gt;0,Gradesheet!L213,Gradesheet!AR213)</f>
        <v>0</v>
      </c>
      <c r="F185" s="145">
        <f>IF(Outline!$C$14&gt;0,Gradesheet!AZ213,"NA")</f>
        <v>0</v>
      </c>
      <c r="G185" s="145">
        <f>IF(Outline!$C$14&gt;0,Gradesheet!U183,Gradesheet!AY183)</f>
        <v>0</v>
      </c>
      <c r="H185" s="146">
        <f t="shared" si="3"/>
        <v>0</v>
      </c>
    </row>
    <row r="186" spans="2:8" hidden="1" x14ac:dyDescent="0.25">
      <c r="B186" s="90">
        <f>Gradesheet!A214</f>
        <v>34</v>
      </c>
      <c r="C186" s="91">
        <f>(Gradesheet!B214)</f>
        <v>0</v>
      </c>
      <c r="D186" s="92">
        <f>IF(Outline!$C$14&gt;0,Gradesheet!AD214,Gradesheet!AK214)</f>
        <v>0</v>
      </c>
      <c r="E186" s="145">
        <f>IF(Outline!$C$14&gt;0,Gradesheet!L214,Gradesheet!AR214)</f>
        <v>0</v>
      </c>
      <c r="F186" s="145">
        <f>IF(Outline!$C$14&gt;0,Gradesheet!AZ214,"NA")</f>
        <v>0</v>
      </c>
      <c r="G186" s="145">
        <f>IF(Outline!$C$14&gt;0,Gradesheet!U184,Gradesheet!AY184)</f>
        <v>0</v>
      </c>
      <c r="H186" s="146">
        <f t="shared" si="3"/>
        <v>0</v>
      </c>
    </row>
    <row r="187" spans="2:8" hidden="1" x14ac:dyDescent="0.25">
      <c r="B187" s="90">
        <f>Gradesheet!A215</f>
        <v>35</v>
      </c>
      <c r="C187" s="91">
        <f>(Gradesheet!B215)</f>
        <v>0</v>
      </c>
      <c r="D187" s="92">
        <f>IF(Outline!$C$14&gt;0,Gradesheet!AD215,Gradesheet!AK215)</f>
        <v>0</v>
      </c>
      <c r="E187" s="145">
        <f>IF(Outline!$C$14&gt;0,Gradesheet!L215,Gradesheet!AR215)</f>
        <v>0</v>
      </c>
      <c r="F187" s="145">
        <f>IF(Outline!$C$14&gt;0,Gradesheet!AZ215,"NA")</f>
        <v>0</v>
      </c>
      <c r="G187" s="145">
        <f>IF(Outline!$C$14&gt;0,Gradesheet!U185,Gradesheet!AY185)</f>
        <v>0</v>
      </c>
      <c r="H187" s="146">
        <f t="shared" si="3"/>
        <v>0</v>
      </c>
    </row>
    <row r="188" spans="2:8" hidden="1" x14ac:dyDescent="0.25">
      <c r="B188" s="90">
        <f>Gradesheet!A216</f>
        <v>36</v>
      </c>
      <c r="C188" s="91">
        <f>(Gradesheet!B216)</f>
        <v>0</v>
      </c>
      <c r="D188" s="92">
        <f>IF(Outline!$C$14&gt;0,Gradesheet!AD216,Gradesheet!AK216)</f>
        <v>0</v>
      </c>
      <c r="E188" s="145">
        <f>IF(Outline!$C$14&gt;0,Gradesheet!L216,Gradesheet!AR216)</f>
        <v>0</v>
      </c>
      <c r="F188" s="145">
        <f>IF(Outline!$C$14&gt;0,Gradesheet!AZ216,"NA")</f>
        <v>0</v>
      </c>
      <c r="G188" s="145">
        <f>IF(Outline!$C$14&gt;0,Gradesheet!U186,Gradesheet!AY186)</f>
        <v>0</v>
      </c>
      <c r="H188" s="146">
        <f t="shared" si="3"/>
        <v>0</v>
      </c>
    </row>
    <row r="189" spans="2:8" hidden="1" x14ac:dyDescent="0.25">
      <c r="B189" s="90">
        <f>Gradesheet!A217</f>
        <v>37</v>
      </c>
      <c r="C189" s="91">
        <f>(Gradesheet!B217)</f>
        <v>0</v>
      </c>
      <c r="D189" s="92">
        <f>IF(Outline!$C$14&gt;0,Gradesheet!AD217,Gradesheet!AK217)</f>
        <v>0</v>
      </c>
      <c r="E189" s="145">
        <f>IF(Outline!$C$14&gt;0,Gradesheet!L217,Gradesheet!AR217)</f>
        <v>0</v>
      </c>
      <c r="F189" s="145">
        <f>IF(Outline!$C$14&gt;0,Gradesheet!AZ217,"NA")</f>
        <v>0</v>
      </c>
      <c r="G189" s="145">
        <f>IF(Outline!$C$14&gt;0,Gradesheet!U187,Gradesheet!AY187)</f>
        <v>0</v>
      </c>
      <c r="H189" s="146">
        <f t="shared" si="3"/>
        <v>0</v>
      </c>
    </row>
    <row r="190" spans="2:8" hidden="1" x14ac:dyDescent="0.25">
      <c r="B190" s="90">
        <f>Gradesheet!A218</f>
        <v>38</v>
      </c>
      <c r="C190" s="91">
        <f>(Gradesheet!B218)</f>
        <v>0</v>
      </c>
      <c r="D190" s="92">
        <f>IF(Outline!$C$14&gt;0,Gradesheet!AD218,Gradesheet!AK218)</f>
        <v>0</v>
      </c>
      <c r="E190" s="145">
        <f>IF(Outline!$C$14&gt;0,Gradesheet!L218,Gradesheet!AR218)</f>
        <v>0</v>
      </c>
      <c r="F190" s="145">
        <f>IF(Outline!$C$14&gt;0,Gradesheet!AZ218,"NA")</f>
        <v>0</v>
      </c>
      <c r="G190" s="145">
        <f>IF(Outline!$C$14&gt;0,Gradesheet!U188,Gradesheet!AY188)</f>
        <v>0</v>
      </c>
      <c r="H190" s="146">
        <f t="shared" si="3"/>
        <v>0</v>
      </c>
    </row>
    <row r="191" spans="2:8" hidden="1" x14ac:dyDescent="0.25">
      <c r="B191" s="90">
        <f>Gradesheet!A219</f>
        <v>39</v>
      </c>
      <c r="C191" s="91">
        <f>(Gradesheet!B219)</f>
        <v>0</v>
      </c>
      <c r="D191" s="92">
        <f>IF(Outline!$C$14&gt;0,Gradesheet!AD219,Gradesheet!AK219)</f>
        <v>0</v>
      </c>
      <c r="E191" s="145">
        <f>IF(Outline!$C$14&gt;0,Gradesheet!L219,Gradesheet!AR219)</f>
        <v>0</v>
      </c>
      <c r="F191" s="145">
        <f>IF(Outline!$C$14&gt;0,Gradesheet!AZ219,"NA")</f>
        <v>0</v>
      </c>
      <c r="G191" s="145">
        <f>IF(Outline!$C$14&gt;0,Gradesheet!U189,Gradesheet!AY189)</f>
        <v>0</v>
      </c>
      <c r="H191" s="146">
        <f t="shared" si="3"/>
        <v>0</v>
      </c>
    </row>
    <row r="192" spans="2:8" hidden="1" x14ac:dyDescent="0.25">
      <c r="B192" s="90">
        <f>Gradesheet!A220</f>
        <v>40</v>
      </c>
      <c r="C192" s="91">
        <f>(Gradesheet!B220)</f>
        <v>0</v>
      </c>
      <c r="D192" s="92">
        <f>IF(Outline!$C$14&gt;0,Gradesheet!AD220,Gradesheet!AK220)</f>
        <v>0</v>
      </c>
      <c r="E192" s="145">
        <f>IF(Outline!$C$14&gt;0,Gradesheet!L220,Gradesheet!AR220)</f>
        <v>0</v>
      </c>
      <c r="F192" s="145">
        <f>IF(Outline!$C$14&gt;0,Gradesheet!AZ220,"NA")</f>
        <v>0</v>
      </c>
      <c r="G192" s="145">
        <f>IF(Outline!$C$14&gt;0,Gradesheet!U190,Gradesheet!AY190)</f>
        <v>0</v>
      </c>
      <c r="H192" s="146">
        <f t="shared" si="3"/>
        <v>0</v>
      </c>
    </row>
    <row r="193" spans="2:8" hidden="1" x14ac:dyDescent="0.25">
      <c r="B193" s="90">
        <f>Gradesheet!A221</f>
        <v>41</v>
      </c>
      <c r="C193" s="91">
        <f>(Gradesheet!B221)</f>
        <v>0</v>
      </c>
      <c r="D193" s="92">
        <f>IF(Outline!$C$14&gt;0,Gradesheet!AD221,Gradesheet!AK221)</f>
        <v>0</v>
      </c>
      <c r="E193" s="145">
        <f>IF(Outline!$C$14&gt;0,Gradesheet!L221,Gradesheet!AR221)</f>
        <v>0</v>
      </c>
      <c r="F193" s="145">
        <f>IF(Outline!$C$14&gt;0,Gradesheet!AZ221,"NA")</f>
        <v>0</v>
      </c>
      <c r="G193" s="145">
        <f>IF(Outline!$C$14&gt;0,Gradesheet!U191,Gradesheet!AY191)</f>
        <v>0</v>
      </c>
      <c r="H193" s="146">
        <f t="shared" si="3"/>
        <v>0</v>
      </c>
    </row>
    <row r="194" spans="2:8" hidden="1" x14ac:dyDescent="0.25">
      <c r="B194" s="90">
        <f>Gradesheet!A222</f>
        <v>42</v>
      </c>
      <c r="C194" s="91">
        <f>(Gradesheet!B222)</f>
        <v>0</v>
      </c>
      <c r="D194" s="92">
        <f>IF(Outline!$C$14&gt;0,Gradesheet!AD222,Gradesheet!AK222)</f>
        <v>0</v>
      </c>
      <c r="E194" s="145">
        <f>IF(Outline!$C$14&gt;0,Gradesheet!L222,Gradesheet!AR222)</f>
        <v>0</v>
      </c>
      <c r="F194" s="145">
        <f>IF(Outline!$C$14&gt;0,Gradesheet!AZ222,"NA")</f>
        <v>0</v>
      </c>
      <c r="G194" s="145">
        <f>IF(Outline!$C$14&gt;0,Gradesheet!U192,Gradesheet!AY192)</f>
        <v>0</v>
      </c>
      <c r="H194" s="146">
        <f t="shared" si="3"/>
        <v>0</v>
      </c>
    </row>
    <row r="195" spans="2:8" hidden="1" x14ac:dyDescent="0.25">
      <c r="B195" s="90">
        <f>Gradesheet!A223</f>
        <v>0</v>
      </c>
      <c r="C195" s="91">
        <f>(Gradesheet!B223)</f>
        <v>0</v>
      </c>
      <c r="D195" s="92">
        <f>IF(Outline!$C$14&gt;0,Gradesheet!AD223,Gradesheet!AK223)</f>
        <v>0</v>
      </c>
      <c r="E195" s="145">
        <f>IF(Outline!$C$14&gt;0,Gradesheet!L223,Gradesheet!AR223)</f>
        <v>0</v>
      </c>
      <c r="F195" s="145">
        <f>IF(Outline!$C$14&gt;0,Gradesheet!AZ223,"NA")</f>
        <v>0</v>
      </c>
      <c r="G195" s="145">
        <f>IF(Outline!$C$14&gt;0,Gradesheet!U193,Gradesheet!AY193)</f>
        <v>0</v>
      </c>
      <c r="H195" s="146">
        <f t="shared" si="3"/>
        <v>0</v>
      </c>
    </row>
    <row r="196" spans="2:8" hidden="1" x14ac:dyDescent="0.25">
      <c r="B196" s="90">
        <f>Gradesheet!A224</f>
        <v>1</v>
      </c>
      <c r="C196" s="91">
        <f>(Gradesheet!B224)</f>
        <v>0</v>
      </c>
      <c r="D196" s="92">
        <f>IF(Outline!$C$14&gt;0,Gradesheet!AD224,Gradesheet!AK224)</f>
        <v>0</v>
      </c>
      <c r="E196" s="145">
        <f>IF(Outline!$C$14&gt;0,Gradesheet!L224,Gradesheet!AR224)</f>
        <v>0</v>
      </c>
      <c r="F196" s="145">
        <f>IF(Outline!$C$14&gt;0,Gradesheet!AZ224,"NA")</f>
        <v>0</v>
      </c>
      <c r="G196" s="145">
        <f>IF(Outline!$C$14&gt;0,Gradesheet!U194,Gradesheet!AY194)</f>
        <v>0</v>
      </c>
      <c r="H196" s="146">
        <f t="shared" si="3"/>
        <v>0</v>
      </c>
    </row>
    <row r="197" spans="2:8" hidden="1" x14ac:dyDescent="0.25">
      <c r="B197" s="90">
        <f>Gradesheet!A225</f>
        <v>2</v>
      </c>
      <c r="C197" s="91">
        <f>(Gradesheet!B225)</f>
        <v>0</v>
      </c>
      <c r="D197" s="92">
        <f>IF(Outline!$C$14&gt;0,Gradesheet!AD225,Gradesheet!AK225)</f>
        <v>0</v>
      </c>
      <c r="E197" s="145">
        <f>IF(Outline!$C$14&gt;0,Gradesheet!L225,Gradesheet!AR225)</f>
        <v>0</v>
      </c>
      <c r="F197" s="145">
        <f>IF(Outline!$C$14&gt;0,Gradesheet!AZ225,"NA")</f>
        <v>0</v>
      </c>
      <c r="G197" s="145">
        <f>IF(Outline!$C$14&gt;0,Gradesheet!U195,Gradesheet!AY195)</f>
        <v>0</v>
      </c>
      <c r="H197" s="146">
        <f t="shared" si="3"/>
        <v>0</v>
      </c>
    </row>
    <row r="198" spans="2:8" hidden="1" x14ac:dyDescent="0.25">
      <c r="B198" s="90">
        <f>Gradesheet!A226</f>
        <v>3</v>
      </c>
      <c r="C198" s="91">
        <f>(Gradesheet!B226)</f>
        <v>0</v>
      </c>
      <c r="D198" s="92">
        <f>IF(Outline!$C$14&gt;0,Gradesheet!AD226,Gradesheet!AK226)</f>
        <v>0</v>
      </c>
      <c r="E198" s="145">
        <f>IF(Outline!$C$14&gt;0,Gradesheet!L226,Gradesheet!AR226)</f>
        <v>0</v>
      </c>
      <c r="F198" s="145">
        <f>IF(Outline!$C$14&gt;0,Gradesheet!AZ226,"NA")</f>
        <v>0</v>
      </c>
      <c r="G198" s="145">
        <f>IF(Outline!$C$14&gt;0,Gradesheet!U196,Gradesheet!AY196)</f>
        <v>0</v>
      </c>
      <c r="H198" s="146">
        <f t="shared" si="3"/>
        <v>0</v>
      </c>
    </row>
    <row r="199" spans="2:8" hidden="1" x14ac:dyDescent="0.25">
      <c r="B199" s="90">
        <f>Gradesheet!A227</f>
        <v>4</v>
      </c>
      <c r="C199" s="91">
        <f>(Gradesheet!B227)</f>
        <v>0</v>
      </c>
      <c r="D199" s="92">
        <f>IF(Outline!$C$14&gt;0,Gradesheet!AD227,Gradesheet!AK227)</f>
        <v>0</v>
      </c>
      <c r="E199" s="145">
        <f>IF(Outline!$C$14&gt;0,Gradesheet!L227,Gradesheet!AR227)</f>
        <v>0</v>
      </c>
      <c r="F199" s="145">
        <f>IF(Outline!$C$14&gt;0,Gradesheet!AZ227,"NA")</f>
        <v>0</v>
      </c>
      <c r="G199" s="145">
        <f>IF(Outline!$C$14&gt;0,Gradesheet!U197,Gradesheet!AY197)</f>
        <v>0</v>
      </c>
      <c r="H199" s="146">
        <f t="shared" ref="H199:H262" si="4">SUM(D199:G199)</f>
        <v>0</v>
      </c>
    </row>
    <row r="200" spans="2:8" hidden="1" x14ac:dyDescent="0.25">
      <c r="B200" s="90">
        <f>Gradesheet!A228</f>
        <v>5</v>
      </c>
      <c r="C200" s="91">
        <f>(Gradesheet!B228)</f>
        <v>0</v>
      </c>
      <c r="D200" s="92">
        <f>IF(Outline!$C$14&gt;0,Gradesheet!AD228,Gradesheet!AK228)</f>
        <v>0</v>
      </c>
      <c r="E200" s="145">
        <f>IF(Outline!$C$14&gt;0,Gradesheet!L228,Gradesheet!AR228)</f>
        <v>0</v>
      </c>
      <c r="F200" s="145">
        <f>IF(Outline!$C$14&gt;0,Gradesheet!AZ228,"NA")</f>
        <v>0</v>
      </c>
      <c r="G200" s="145">
        <f>IF(Outline!$C$14&gt;0,Gradesheet!U198,Gradesheet!AY198)</f>
        <v>0</v>
      </c>
      <c r="H200" s="146">
        <f t="shared" si="4"/>
        <v>0</v>
      </c>
    </row>
    <row r="201" spans="2:8" hidden="1" x14ac:dyDescent="0.25">
      <c r="B201" s="90">
        <f>Gradesheet!A229</f>
        <v>6</v>
      </c>
      <c r="C201" s="91">
        <f>(Gradesheet!B229)</f>
        <v>0</v>
      </c>
      <c r="D201" s="92">
        <f>IF(Outline!$C$14&gt;0,Gradesheet!AD229,Gradesheet!AK229)</f>
        <v>0</v>
      </c>
      <c r="E201" s="145">
        <f>IF(Outline!$C$14&gt;0,Gradesheet!L229,Gradesheet!AR229)</f>
        <v>0</v>
      </c>
      <c r="F201" s="145">
        <f>IF(Outline!$C$14&gt;0,Gradesheet!AZ229,"NA")</f>
        <v>0</v>
      </c>
      <c r="G201" s="145">
        <f>IF(Outline!$C$14&gt;0,Gradesheet!U199,Gradesheet!AY199)</f>
        <v>0</v>
      </c>
      <c r="H201" s="146">
        <f t="shared" si="4"/>
        <v>0</v>
      </c>
    </row>
    <row r="202" spans="2:8" hidden="1" x14ac:dyDescent="0.25">
      <c r="B202" s="90">
        <f>Gradesheet!A230</f>
        <v>7</v>
      </c>
      <c r="C202" s="91">
        <f>(Gradesheet!B230)</f>
        <v>0</v>
      </c>
      <c r="D202" s="92">
        <f>IF(Outline!$C$14&gt;0,Gradesheet!AD230,Gradesheet!AK230)</f>
        <v>0</v>
      </c>
      <c r="E202" s="145">
        <f>IF(Outline!$C$14&gt;0,Gradesheet!L230,Gradesheet!AR230)</f>
        <v>0</v>
      </c>
      <c r="F202" s="145">
        <f>IF(Outline!$C$14&gt;0,Gradesheet!AZ230,"NA")</f>
        <v>0</v>
      </c>
      <c r="G202" s="145">
        <f>IF(Outline!$C$14&gt;0,Gradesheet!U200,Gradesheet!AY200)</f>
        <v>0</v>
      </c>
      <c r="H202" s="146">
        <f t="shared" si="4"/>
        <v>0</v>
      </c>
    </row>
    <row r="203" spans="2:8" hidden="1" x14ac:dyDescent="0.25">
      <c r="B203" s="90">
        <f>Gradesheet!A231</f>
        <v>8</v>
      </c>
      <c r="C203" s="91">
        <f>(Gradesheet!B231)</f>
        <v>0</v>
      </c>
      <c r="D203" s="92">
        <f>IF(Outline!$C$14&gt;0,Gradesheet!AD231,Gradesheet!AK231)</f>
        <v>0</v>
      </c>
      <c r="E203" s="145">
        <f>IF(Outline!$C$14&gt;0,Gradesheet!L231,Gradesheet!AR231)</f>
        <v>0</v>
      </c>
      <c r="F203" s="145">
        <f>IF(Outline!$C$14&gt;0,Gradesheet!AZ231,"NA")</f>
        <v>0</v>
      </c>
      <c r="G203" s="145">
        <f>IF(Outline!$C$14&gt;0,Gradesheet!U201,Gradesheet!AY201)</f>
        <v>0</v>
      </c>
      <c r="H203" s="146">
        <f t="shared" si="4"/>
        <v>0</v>
      </c>
    </row>
    <row r="204" spans="2:8" hidden="1" x14ac:dyDescent="0.25">
      <c r="B204" s="90">
        <f>Gradesheet!A232</f>
        <v>9</v>
      </c>
      <c r="C204" s="91">
        <f>(Gradesheet!B232)</f>
        <v>0</v>
      </c>
      <c r="D204" s="92">
        <f>IF(Outline!$C$14&gt;0,Gradesheet!AD232,Gradesheet!AK232)</f>
        <v>0</v>
      </c>
      <c r="E204" s="145">
        <f>IF(Outline!$C$14&gt;0,Gradesheet!L232,Gradesheet!AR232)</f>
        <v>0</v>
      </c>
      <c r="F204" s="145">
        <f>IF(Outline!$C$14&gt;0,Gradesheet!AZ232,"NA")</f>
        <v>0</v>
      </c>
      <c r="G204" s="145">
        <f>IF(Outline!$C$14&gt;0,Gradesheet!U202,Gradesheet!AY202)</f>
        <v>0</v>
      </c>
      <c r="H204" s="146">
        <f t="shared" si="4"/>
        <v>0</v>
      </c>
    </row>
    <row r="205" spans="2:8" hidden="1" x14ac:dyDescent="0.25">
      <c r="B205" s="90">
        <f>Gradesheet!A233</f>
        <v>10</v>
      </c>
      <c r="C205" s="91">
        <f>(Gradesheet!B233)</f>
        <v>0</v>
      </c>
      <c r="D205" s="92">
        <f>IF(Outline!$C$14&gt;0,Gradesheet!AD233,Gradesheet!AK233)</f>
        <v>0</v>
      </c>
      <c r="E205" s="145">
        <f>IF(Outline!$C$14&gt;0,Gradesheet!L233,Gradesheet!AR233)</f>
        <v>0</v>
      </c>
      <c r="F205" s="145">
        <f>IF(Outline!$C$14&gt;0,Gradesheet!AZ233,"NA")</f>
        <v>0</v>
      </c>
      <c r="G205" s="145">
        <f>IF(Outline!$C$14&gt;0,Gradesheet!U203,Gradesheet!AY203)</f>
        <v>0</v>
      </c>
      <c r="H205" s="146">
        <f t="shared" si="4"/>
        <v>0</v>
      </c>
    </row>
    <row r="206" spans="2:8" hidden="1" x14ac:dyDescent="0.25">
      <c r="B206" s="90">
        <f>Gradesheet!A234</f>
        <v>11</v>
      </c>
      <c r="C206" s="91">
        <f>(Gradesheet!B234)</f>
        <v>0</v>
      </c>
      <c r="D206" s="92">
        <f>IF(Outline!$C$14&gt;0,Gradesheet!AD234,Gradesheet!AK234)</f>
        <v>0</v>
      </c>
      <c r="E206" s="145">
        <f>IF(Outline!$C$14&gt;0,Gradesheet!L234,Gradesheet!AR234)</f>
        <v>0</v>
      </c>
      <c r="F206" s="145">
        <f>IF(Outline!$C$14&gt;0,Gradesheet!AZ234,"NA")</f>
        <v>0</v>
      </c>
      <c r="G206" s="145">
        <f>IF(Outline!$C$14&gt;0,Gradesheet!U204,Gradesheet!AY204)</f>
        <v>0</v>
      </c>
      <c r="H206" s="146">
        <f t="shared" si="4"/>
        <v>0</v>
      </c>
    </row>
    <row r="207" spans="2:8" hidden="1" x14ac:dyDescent="0.25">
      <c r="B207" s="90">
        <f>Gradesheet!A235</f>
        <v>12</v>
      </c>
      <c r="C207" s="91">
        <f>(Gradesheet!B235)</f>
        <v>0</v>
      </c>
      <c r="D207" s="92">
        <f>IF(Outline!$C$14&gt;0,Gradesheet!AD235,Gradesheet!AK235)</f>
        <v>0</v>
      </c>
      <c r="E207" s="145">
        <f>IF(Outline!$C$14&gt;0,Gradesheet!L235,Gradesheet!AR235)</f>
        <v>0</v>
      </c>
      <c r="F207" s="145">
        <f>IF(Outline!$C$14&gt;0,Gradesheet!AZ235,"NA")</f>
        <v>0</v>
      </c>
      <c r="G207" s="145">
        <f>IF(Outline!$C$14&gt;0,Gradesheet!U205,Gradesheet!AY205)</f>
        <v>0</v>
      </c>
      <c r="H207" s="146">
        <f t="shared" si="4"/>
        <v>0</v>
      </c>
    </row>
    <row r="208" spans="2:8" hidden="1" x14ac:dyDescent="0.25">
      <c r="B208" s="90">
        <f>Gradesheet!A236</f>
        <v>13</v>
      </c>
      <c r="C208" s="91">
        <f>(Gradesheet!B236)</f>
        <v>0</v>
      </c>
      <c r="D208" s="92">
        <f>IF(Outline!$C$14&gt;0,Gradesheet!AD236,Gradesheet!AK236)</f>
        <v>0</v>
      </c>
      <c r="E208" s="145">
        <f>IF(Outline!$C$14&gt;0,Gradesheet!L236,Gradesheet!AR236)</f>
        <v>0</v>
      </c>
      <c r="F208" s="145">
        <f>IF(Outline!$C$14&gt;0,Gradesheet!AZ236,"NA")</f>
        <v>0</v>
      </c>
      <c r="G208" s="145">
        <f>IF(Outline!$C$14&gt;0,Gradesheet!U206,Gradesheet!AY206)</f>
        <v>0</v>
      </c>
      <c r="H208" s="146">
        <f t="shared" si="4"/>
        <v>0</v>
      </c>
    </row>
    <row r="209" spans="2:8" hidden="1" x14ac:dyDescent="0.25">
      <c r="B209" s="90">
        <f>Gradesheet!A237</f>
        <v>14</v>
      </c>
      <c r="C209" s="91">
        <f>(Gradesheet!B237)</f>
        <v>0</v>
      </c>
      <c r="D209" s="92">
        <f>IF(Outline!$C$14&gt;0,Gradesheet!AD237,Gradesheet!AK237)</f>
        <v>0</v>
      </c>
      <c r="E209" s="145">
        <f>IF(Outline!$C$14&gt;0,Gradesheet!L237,Gradesheet!AR237)</f>
        <v>0</v>
      </c>
      <c r="F209" s="145">
        <f>IF(Outline!$C$14&gt;0,Gradesheet!AZ237,"NA")</f>
        <v>0</v>
      </c>
      <c r="G209" s="145">
        <f>IF(Outline!$C$14&gt;0,Gradesheet!U207,Gradesheet!AY207)</f>
        <v>0</v>
      </c>
      <c r="H209" s="146">
        <f t="shared" si="4"/>
        <v>0</v>
      </c>
    </row>
    <row r="210" spans="2:8" hidden="1" x14ac:dyDescent="0.25">
      <c r="B210" s="90">
        <f>Gradesheet!A238</f>
        <v>15</v>
      </c>
      <c r="C210" s="91">
        <f>(Gradesheet!B238)</f>
        <v>0</v>
      </c>
      <c r="D210" s="92">
        <f>IF(Outline!$C$14&gt;0,Gradesheet!AD238,Gradesheet!AK238)</f>
        <v>0</v>
      </c>
      <c r="E210" s="145">
        <f>IF(Outline!$C$14&gt;0,Gradesheet!L238,Gradesheet!AR238)</f>
        <v>0</v>
      </c>
      <c r="F210" s="145">
        <f>IF(Outline!$C$14&gt;0,Gradesheet!AZ238,"NA")</f>
        <v>0</v>
      </c>
      <c r="G210" s="145">
        <f>IF(Outline!$C$14&gt;0,Gradesheet!U208,Gradesheet!AY208)</f>
        <v>0</v>
      </c>
      <c r="H210" s="146">
        <f t="shared" si="4"/>
        <v>0</v>
      </c>
    </row>
    <row r="211" spans="2:8" hidden="1" x14ac:dyDescent="0.25">
      <c r="B211" s="90">
        <f>Gradesheet!A239</f>
        <v>16</v>
      </c>
      <c r="C211" s="91">
        <f>(Gradesheet!B239)</f>
        <v>0</v>
      </c>
      <c r="D211" s="92">
        <f>IF(Outline!$C$14&gt;0,Gradesheet!AD239,Gradesheet!AK239)</f>
        <v>0</v>
      </c>
      <c r="E211" s="145">
        <f>IF(Outline!$C$14&gt;0,Gradesheet!L239,Gradesheet!AR239)</f>
        <v>0</v>
      </c>
      <c r="F211" s="145">
        <f>IF(Outline!$C$14&gt;0,Gradesheet!AZ239,"NA")</f>
        <v>0</v>
      </c>
      <c r="G211" s="145">
        <f>IF(Outline!$C$14&gt;0,Gradesheet!U209,Gradesheet!AY209)</f>
        <v>0</v>
      </c>
      <c r="H211" s="146">
        <f t="shared" si="4"/>
        <v>0</v>
      </c>
    </row>
    <row r="212" spans="2:8" hidden="1" x14ac:dyDescent="0.25">
      <c r="B212" s="90">
        <f>Gradesheet!A240</f>
        <v>17</v>
      </c>
      <c r="C212" s="91">
        <f>(Gradesheet!B240)</f>
        <v>0</v>
      </c>
      <c r="D212" s="92">
        <f>IF(Outline!$C$14&gt;0,Gradesheet!AD240,Gradesheet!AK240)</f>
        <v>0</v>
      </c>
      <c r="E212" s="145">
        <f>IF(Outline!$C$14&gt;0,Gradesheet!L240,Gradesheet!AR240)</f>
        <v>0</v>
      </c>
      <c r="F212" s="145">
        <f>IF(Outline!$C$14&gt;0,Gradesheet!AZ240,"NA")</f>
        <v>0</v>
      </c>
      <c r="G212" s="145">
        <f>IF(Outline!$C$14&gt;0,Gradesheet!U210,Gradesheet!AY210)</f>
        <v>0</v>
      </c>
      <c r="H212" s="146">
        <f t="shared" si="4"/>
        <v>0</v>
      </c>
    </row>
    <row r="213" spans="2:8" hidden="1" x14ac:dyDescent="0.25">
      <c r="B213" s="90">
        <f>Gradesheet!A241</f>
        <v>18</v>
      </c>
      <c r="C213" s="91">
        <f>(Gradesheet!B241)</f>
        <v>0</v>
      </c>
      <c r="D213" s="92">
        <f>IF(Outline!$C$14&gt;0,Gradesheet!AD241,Gradesheet!AK241)</f>
        <v>0</v>
      </c>
      <c r="E213" s="145">
        <f>IF(Outline!$C$14&gt;0,Gradesheet!L241,Gradesheet!AR241)</f>
        <v>0</v>
      </c>
      <c r="F213" s="145">
        <f>IF(Outline!$C$14&gt;0,Gradesheet!AZ241,"NA")</f>
        <v>0</v>
      </c>
      <c r="G213" s="145">
        <f>IF(Outline!$C$14&gt;0,Gradesheet!U211,Gradesheet!AY211)</f>
        <v>0</v>
      </c>
      <c r="H213" s="146">
        <f t="shared" si="4"/>
        <v>0</v>
      </c>
    </row>
    <row r="214" spans="2:8" hidden="1" x14ac:dyDescent="0.25">
      <c r="B214" s="90">
        <f>Gradesheet!A242</f>
        <v>19</v>
      </c>
      <c r="C214" s="91">
        <f>(Gradesheet!B242)</f>
        <v>0</v>
      </c>
      <c r="D214" s="92">
        <f>IF(Outline!$C$14&gt;0,Gradesheet!AD242,Gradesheet!AK242)</f>
        <v>0</v>
      </c>
      <c r="E214" s="145">
        <f>IF(Outline!$C$14&gt;0,Gradesheet!L242,Gradesheet!AR242)</f>
        <v>0</v>
      </c>
      <c r="F214" s="145">
        <f>IF(Outline!$C$14&gt;0,Gradesheet!AZ242,"NA")</f>
        <v>0</v>
      </c>
      <c r="G214" s="145">
        <f>IF(Outline!$C$14&gt;0,Gradesheet!U212,Gradesheet!AY212)</f>
        <v>0</v>
      </c>
      <c r="H214" s="146">
        <f t="shared" si="4"/>
        <v>0</v>
      </c>
    </row>
    <row r="215" spans="2:8" hidden="1" x14ac:dyDescent="0.25">
      <c r="B215" s="90">
        <f>Gradesheet!A243</f>
        <v>20</v>
      </c>
      <c r="C215" s="91">
        <f>(Gradesheet!B243)</f>
        <v>0</v>
      </c>
      <c r="D215" s="92">
        <f>IF(Outline!$C$14&gt;0,Gradesheet!AD243,Gradesheet!AK243)</f>
        <v>0</v>
      </c>
      <c r="E215" s="145">
        <f>IF(Outline!$C$14&gt;0,Gradesheet!L243,Gradesheet!AR243)</f>
        <v>0</v>
      </c>
      <c r="F215" s="145">
        <f>IF(Outline!$C$14&gt;0,Gradesheet!AZ243,"NA")</f>
        <v>0</v>
      </c>
      <c r="G215" s="145">
        <f>IF(Outline!$C$14&gt;0,Gradesheet!U213,Gradesheet!AY213)</f>
        <v>0</v>
      </c>
      <c r="H215" s="146">
        <f t="shared" si="4"/>
        <v>0</v>
      </c>
    </row>
    <row r="216" spans="2:8" hidden="1" x14ac:dyDescent="0.25">
      <c r="B216" s="90">
        <f>Gradesheet!A244</f>
        <v>21</v>
      </c>
      <c r="C216" s="91">
        <f>(Gradesheet!B244)</f>
        <v>0</v>
      </c>
      <c r="D216" s="92">
        <f>IF(Outline!$C$14&gt;0,Gradesheet!AD244,Gradesheet!AK244)</f>
        <v>0</v>
      </c>
      <c r="E216" s="145">
        <f>IF(Outline!$C$14&gt;0,Gradesheet!L244,Gradesheet!AR244)</f>
        <v>0</v>
      </c>
      <c r="F216" s="145">
        <f>IF(Outline!$C$14&gt;0,Gradesheet!AZ244,"NA")</f>
        <v>0</v>
      </c>
      <c r="G216" s="145">
        <f>IF(Outline!$C$14&gt;0,Gradesheet!U214,Gradesheet!AY214)</f>
        <v>0</v>
      </c>
      <c r="H216" s="146">
        <f t="shared" si="4"/>
        <v>0</v>
      </c>
    </row>
    <row r="217" spans="2:8" hidden="1" x14ac:dyDescent="0.25">
      <c r="B217" s="90">
        <f>Gradesheet!A245</f>
        <v>22</v>
      </c>
      <c r="C217" s="91">
        <f>(Gradesheet!B245)</f>
        <v>0</v>
      </c>
      <c r="D217" s="92">
        <f>IF(Outline!$C$14&gt;0,Gradesheet!AD245,Gradesheet!AK245)</f>
        <v>0</v>
      </c>
      <c r="E217" s="145">
        <f>IF(Outline!$C$14&gt;0,Gradesheet!L245,Gradesheet!AR245)</f>
        <v>0</v>
      </c>
      <c r="F217" s="145">
        <f>IF(Outline!$C$14&gt;0,Gradesheet!AZ245,"NA")</f>
        <v>0</v>
      </c>
      <c r="G217" s="145">
        <f>IF(Outline!$C$14&gt;0,Gradesheet!U215,Gradesheet!AY215)</f>
        <v>0</v>
      </c>
      <c r="H217" s="146">
        <f t="shared" si="4"/>
        <v>0</v>
      </c>
    </row>
    <row r="218" spans="2:8" hidden="1" x14ac:dyDescent="0.25">
      <c r="B218" s="90">
        <f>Gradesheet!A246</f>
        <v>23</v>
      </c>
      <c r="C218" s="91">
        <f>(Gradesheet!B246)</f>
        <v>0</v>
      </c>
      <c r="D218" s="92">
        <f>IF(Outline!$C$14&gt;0,Gradesheet!AD246,Gradesheet!AK246)</f>
        <v>0</v>
      </c>
      <c r="E218" s="145">
        <f>IF(Outline!$C$14&gt;0,Gradesheet!L246,Gradesheet!AR246)</f>
        <v>0</v>
      </c>
      <c r="F218" s="145">
        <f>IF(Outline!$C$14&gt;0,Gradesheet!AZ246,"NA")</f>
        <v>0</v>
      </c>
      <c r="G218" s="145">
        <f>IF(Outline!$C$14&gt;0,Gradesheet!U216,Gradesheet!AY216)</f>
        <v>0</v>
      </c>
      <c r="H218" s="146">
        <f t="shared" si="4"/>
        <v>0</v>
      </c>
    </row>
    <row r="219" spans="2:8" hidden="1" x14ac:dyDescent="0.25">
      <c r="B219" s="90">
        <f>Gradesheet!A247</f>
        <v>24</v>
      </c>
      <c r="C219" s="91">
        <f>(Gradesheet!B247)</f>
        <v>0</v>
      </c>
      <c r="D219" s="92">
        <f>IF(Outline!$C$14&gt;0,Gradesheet!AD247,Gradesheet!AK247)</f>
        <v>0</v>
      </c>
      <c r="E219" s="145">
        <f>IF(Outline!$C$14&gt;0,Gradesheet!L247,Gradesheet!AR247)</f>
        <v>0</v>
      </c>
      <c r="F219" s="145">
        <f>IF(Outline!$C$14&gt;0,Gradesheet!AZ247,"NA")</f>
        <v>0</v>
      </c>
      <c r="G219" s="145">
        <f>IF(Outline!$C$14&gt;0,Gradesheet!U217,Gradesheet!AY217)</f>
        <v>0</v>
      </c>
      <c r="H219" s="146">
        <f t="shared" si="4"/>
        <v>0</v>
      </c>
    </row>
    <row r="220" spans="2:8" hidden="1" x14ac:dyDescent="0.25">
      <c r="B220" s="90">
        <f>Gradesheet!A248</f>
        <v>25</v>
      </c>
      <c r="C220" s="91">
        <f>(Gradesheet!B248)</f>
        <v>0</v>
      </c>
      <c r="D220" s="92">
        <f>IF(Outline!$C$14&gt;0,Gradesheet!AD248,Gradesheet!AK248)</f>
        <v>0</v>
      </c>
      <c r="E220" s="145">
        <f>IF(Outline!$C$14&gt;0,Gradesheet!L248,Gradesheet!AR248)</f>
        <v>0</v>
      </c>
      <c r="F220" s="145">
        <f>IF(Outline!$C$14&gt;0,Gradesheet!AZ248,"NA")</f>
        <v>0</v>
      </c>
      <c r="G220" s="145">
        <f>IF(Outline!$C$14&gt;0,Gradesheet!U218,Gradesheet!AY218)</f>
        <v>0</v>
      </c>
      <c r="H220" s="146">
        <f t="shared" si="4"/>
        <v>0</v>
      </c>
    </row>
    <row r="221" spans="2:8" hidden="1" x14ac:dyDescent="0.25">
      <c r="B221" s="90">
        <f>Gradesheet!A249</f>
        <v>26</v>
      </c>
      <c r="C221" s="91">
        <f>(Gradesheet!B249)</f>
        <v>0</v>
      </c>
      <c r="D221" s="92">
        <f>IF(Outline!$C$14&gt;0,Gradesheet!AD249,Gradesheet!AK249)</f>
        <v>0</v>
      </c>
      <c r="E221" s="145">
        <f>IF(Outline!$C$14&gt;0,Gradesheet!L249,Gradesheet!AR249)</f>
        <v>0</v>
      </c>
      <c r="F221" s="145">
        <f>IF(Outline!$C$14&gt;0,Gradesheet!AZ249,"NA")</f>
        <v>0</v>
      </c>
      <c r="G221" s="145">
        <f>IF(Outline!$C$14&gt;0,Gradesheet!U219,Gradesheet!AY219)</f>
        <v>0</v>
      </c>
      <c r="H221" s="146">
        <f t="shared" si="4"/>
        <v>0</v>
      </c>
    </row>
    <row r="222" spans="2:8" hidden="1" x14ac:dyDescent="0.25">
      <c r="B222" s="90">
        <f>Gradesheet!A250</f>
        <v>27</v>
      </c>
      <c r="C222" s="91">
        <f>(Gradesheet!B250)</f>
        <v>0</v>
      </c>
      <c r="D222" s="92">
        <f>IF(Outline!$C$14&gt;0,Gradesheet!AD250,Gradesheet!AK250)</f>
        <v>0</v>
      </c>
      <c r="E222" s="145">
        <f>IF(Outline!$C$14&gt;0,Gradesheet!L250,Gradesheet!AR250)</f>
        <v>0</v>
      </c>
      <c r="F222" s="145">
        <f>IF(Outline!$C$14&gt;0,Gradesheet!AZ250,"NA")</f>
        <v>0</v>
      </c>
      <c r="G222" s="145">
        <f>IF(Outline!$C$14&gt;0,Gradesheet!U220,Gradesheet!AY220)</f>
        <v>0</v>
      </c>
      <c r="H222" s="146">
        <f t="shared" si="4"/>
        <v>0</v>
      </c>
    </row>
    <row r="223" spans="2:8" hidden="1" x14ac:dyDescent="0.25">
      <c r="B223" s="90">
        <f>Gradesheet!A251</f>
        <v>28</v>
      </c>
      <c r="C223" s="91">
        <f>(Gradesheet!B251)</f>
        <v>0</v>
      </c>
      <c r="D223" s="92">
        <f>IF(Outline!$C$14&gt;0,Gradesheet!AD251,Gradesheet!AK251)</f>
        <v>0</v>
      </c>
      <c r="E223" s="145">
        <f>IF(Outline!$C$14&gt;0,Gradesheet!L251,Gradesheet!AR251)</f>
        <v>0</v>
      </c>
      <c r="F223" s="145">
        <f>IF(Outline!$C$14&gt;0,Gradesheet!AZ251,"NA")</f>
        <v>0</v>
      </c>
      <c r="G223" s="145">
        <f>IF(Outline!$C$14&gt;0,Gradesheet!U221,Gradesheet!AY221)</f>
        <v>0</v>
      </c>
      <c r="H223" s="146">
        <f t="shared" si="4"/>
        <v>0</v>
      </c>
    </row>
    <row r="224" spans="2:8" hidden="1" x14ac:dyDescent="0.25">
      <c r="B224" s="90">
        <f>Gradesheet!A252</f>
        <v>29</v>
      </c>
      <c r="C224" s="91">
        <f>(Gradesheet!B252)</f>
        <v>0</v>
      </c>
      <c r="D224" s="92">
        <f>IF(Outline!$C$14&gt;0,Gradesheet!AD252,Gradesheet!AK252)</f>
        <v>0</v>
      </c>
      <c r="E224" s="145">
        <f>IF(Outline!$C$14&gt;0,Gradesheet!L252,Gradesheet!AR252)</f>
        <v>0</v>
      </c>
      <c r="F224" s="145">
        <f>IF(Outline!$C$14&gt;0,Gradesheet!AZ252,"NA")</f>
        <v>0</v>
      </c>
      <c r="G224" s="145">
        <f>IF(Outline!$C$14&gt;0,Gradesheet!U222,Gradesheet!AY222)</f>
        <v>0</v>
      </c>
      <c r="H224" s="146">
        <f t="shared" si="4"/>
        <v>0</v>
      </c>
    </row>
    <row r="225" spans="2:8" hidden="1" x14ac:dyDescent="0.25">
      <c r="B225" s="90">
        <f>Gradesheet!A253</f>
        <v>30</v>
      </c>
      <c r="C225" s="91">
        <f>(Gradesheet!B253)</f>
        <v>0</v>
      </c>
      <c r="D225" s="92">
        <f>IF(Outline!$C$14&gt;0,Gradesheet!AD253,Gradesheet!AK253)</f>
        <v>0</v>
      </c>
      <c r="E225" s="145">
        <f>IF(Outline!$C$14&gt;0,Gradesheet!L253,Gradesheet!AR253)</f>
        <v>0</v>
      </c>
      <c r="F225" s="145">
        <f>IF(Outline!$C$14&gt;0,Gradesheet!AZ253,"NA")</f>
        <v>0</v>
      </c>
      <c r="G225" s="145">
        <f>IF(Outline!$C$14&gt;0,Gradesheet!U223,Gradesheet!AY223)</f>
        <v>0</v>
      </c>
      <c r="H225" s="146">
        <f t="shared" si="4"/>
        <v>0</v>
      </c>
    </row>
    <row r="226" spans="2:8" hidden="1" x14ac:dyDescent="0.25">
      <c r="B226" s="90">
        <f>Gradesheet!A254</f>
        <v>31</v>
      </c>
      <c r="C226" s="91">
        <f>(Gradesheet!B254)</f>
        <v>0</v>
      </c>
      <c r="D226" s="92">
        <f>IF(Outline!$C$14&gt;0,Gradesheet!AD254,Gradesheet!AK254)</f>
        <v>0</v>
      </c>
      <c r="E226" s="145">
        <f>IF(Outline!$C$14&gt;0,Gradesheet!L254,Gradesheet!AR254)</f>
        <v>0</v>
      </c>
      <c r="F226" s="145">
        <f>IF(Outline!$C$14&gt;0,Gradesheet!AZ254,"NA")</f>
        <v>0</v>
      </c>
      <c r="G226" s="145">
        <f>IF(Outline!$C$14&gt;0,Gradesheet!U224,Gradesheet!AY224)</f>
        <v>0</v>
      </c>
      <c r="H226" s="146">
        <f t="shared" si="4"/>
        <v>0</v>
      </c>
    </row>
    <row r="227" spans="2:8" hidden="1" x14ac:dyDescent="0.25">
      <c r="B227" s="90">
        <f>Gradesheet!A255</f>
        <v>32</v>
      </c>
      <c r="C227" s="91">
        <f>(Gradesheet!B255)</f>
        <v>0</v>
      </c>
      <c r="D227" s="92">
        <f>IF(Outline!$C$14&gt;0,Gradesheet!AD255,Gradesheet!AK255)</f>
        <v>0</v>
      </c>
      <c r="E227" s="145">
        <f>IF(Outline!$C$14&gt;0,Gradesheet!L255,Gradesheet!AR255)</f>
        <v>0</v>
      </c>
      <c r="F227" s="145">
        <f>IF(Outline!$C$14&gt;0,Gradesheet!AZ255,"NA")</f>
        <v>0</v>
      </c>
      <c r="G227" s="145">
        <f>IF(Outline!$C$14&gt;0,Gradesheet!U225,Gradesheet!AY225)</f>
        <v>0</v>
      </c>
      <c r="H227" s="146">
        <f t="shared" si="4"/>
        <v>0</v>
      </c>
    </row>
    <row r="228" spans="2:8" hidden="1" x14ac:dyDescent="0.25">
      <c r="B228" s="90">
        <f>Gradesheet!A256</f>
        <v>33</v>
      </c>
      <c r="C228" s="91">
        <f>(Gradesheet!B256)</f>
        <v>0</v>
      </c>
      <c r="D228" s="92">
        <f>IF(Outline!$C$14&gt;0,Gradesheet!AD256,Gradesheet!AK256)</f>
        <v>0</v>
      </c>
      <c r="E228" s="145">
        <f>IF(Outline!$C$14&gt;0,Gradesheet!L256,Gradesheet!AR256)</f>
        <v>0</v>
      </c>
      <c r="F228" s="145">
        <f>IF(Outline!$C$14&gt;0,Gradesheet!AZ256,"NA")</f>
        <v>0</v>
      </c>
      <c r="G228" s="145">
        <f>IF(Outline!$C$14&gt;0,Gradesheet!U226,Gradesheet!AY226)</f>
        <v>0</v>
      </c>
      <c r="H228" s="146">
        <f t="shared" si="4"/>
        <v>0</v>
      </c>
    </row>
    <row r="229" spans="2:8" hidden="1" x14ac:dyDescent="0.25">
      <c r="B229" s="90">
        <f>Gradesheet!A257</f>
        <v>34</v>
      </c>
      <c r="C229" s="91">
        <f>(Gradesheet!B257)</f>
        <v>0</v>
      </c>
      <c r="D229" s="92">
        <f>IF(Outline!$C$14&gt;0,Gradesheet!AD257,Gradesheet!AK257)</f>
        <v>0</v>
      </c>
      <c r="E229" s="145">
        <f>IF(Outline!$C$14&gt;0,Gradesheet!L257,Gradesheet!AR257)</f>
        <v>0</v>
      </c>
      <c r="F229" s="145">
        <f>IF(Outline!$C$14&gt;0,Gradesheet!AZ257,"NA")</f>
        <v>0</v>
      </c>
      <c r="G229" s="145">
        <f>IF(Outline!$C$14&gt;0,Gradesheet!U227,Gradesheet!AY227)</f>
        <v>0</v>
      </c>
      <c r="H229" s="146">
        <f t="shared" si="4"/>
        <v>0</v>
      </c>
    </row>
    <row r="230" spans="2:8" hidden="1" x14ac:dyDescent="0.25">
      <c r="B230" s="90">
        <f>Gradesheet!A258</f>
        <v>35</v>
      </c>
      <c r="C230" s="91">
        <f>(Gradesheet!B258)</f>
        <v>0</v>
      </c>
      <c r="D230" s="92">
        <f>IF(Outline!$C$14&gt;0,Gradesheet!AD258,Gradesheet!AK258)</f>
        <v>0</v>
      </c>
      <c r="E230" s="145">
        <f>IF(Outline!$C$14&gt;0,Gradesheet!L258,Gradesheet!AR258)</f>
        <v>0</v>
      </c>
      <c r="F230" s="145">
        <f>IF(Outline!$C$14&gt;0,Gradesheet!AZ258,"NA")</f>
        <v>0</v>
      </c>
      <c r="G230" s="145">
        <f>IF(Outline!$C$14&gt;0,Gradesheet!U228,Gradesheet!AY228)</f>
        <v>0</v>
      </c>
      <c r="H230" s="146">
        <f t="shared" si="4"/>
        <v>0</v>
      </c>
    </row>
    <row r="231" spans="2:8" hidden="1" x14ac:dyDescent="0.25">
      <c r="B231" s="90">
        <f>Gradesheet!A259</f>
        <v>36</v>
      </c>
      <c r="C231" s="91">
        <f>(Gradesheet!B259)</f>
        <v>0</v>
      </c>
      <c r="D231" s="92">
        <f>IF(Outline!$C$14&gt;0,Gradesheet!AD259,Gradesheet!AK259)</f>
        <v>0</v>
      </c>
      <c r="E231" s="145">
        <f>IF(Outline!$C$14&gt;0,Gradesheet!L259,Gradesheet!AR259)</f>
        <v>0</v>
      </c>
      <c r="F231" s="145">
        <f>IF(Outline!$C$14&gt;0,Gradesheet!AZ259,"NA")</f>
        <v>0</v>
      </c>
      <c r="G231" s="145">
        <f>IF(Outline!$C$14&gt;0,Gradesheet!U229,Gradesheet!AY229)</f>
        <v>0</v>
      </c>
      <c r="H231" s="146">
        <f t="shared" si="4"/>
        <v>0</v>
      </c>
    </row>
    <row r="232" spans="2:8" hidden="1" x14ac:dyDescent="0.25">
      <c r="B232" s="90">
        <f>Gradesheet!A260</f>
        <v>37</v>
      </c>
      <c r="C232" s="91">
        <f>(Gradesheet!B260)</f>
        <v>0</v>
      </c>
      <c r="D232" s="92">
        <f>IF(Outline!$C$14&gt;0,Gradesheet!AD260,Gradesheet!AK260)</f>
        <v>0</v>
      </c>
      <c r="E232" s="145">
        <f>IF(Outline!$C$14&gt;0,Gradesheet!L260,Gradesheet!AR260)</f>
        <v>0</v>
      </c>
      <c r="F232" s="145">
        <f>IF(Outline!$C$14&gt;0,Gradesheet!AZ260,"NA")</f>
        <v>0</v>
      </c>
      <c r="G232" s="145">
        <f>IF(Outline!$C$14&gt;0,Gradesheet!U230,Gradesheet!AY230)</f>
        <v>0</v>
      </c>
      <c r="H232" s="146">
        <f t="shared" si="4"/>
        <v>0</v>
      </c>
    </row>
    <row r="233" spans="2:8" hidden="1" x14ac:dyDescent="0.25">
      <c r="B233" s="90">
        <f>Gradesheet!A261</f>
        <v>38</v>
      </c>
      <c r="C233" s="91">
        <f>(Gradesheet!B261)</f>
        <v>0</v>
      </c>
      <c r="D233" s="92">
        <f>IF(Outline!$C$14&gt;0,Gradesheet!AD261,Gradesheet!AK261)</f>
        <v>0</v>
      </c>
      <c r="E233" s="145">
        <f>IF(Outline!$C$14&gt;0,Gradesheet!L261,Gradesheet!AR261)</f>
        <v>0</v>
      </c>
      <c r="F233" s="145">
        <f>IF(Outline!$C$14&gt;0,Gradesheet!AZ261,"NA")</f>
        <v>0</v>
      </c>
      <c r="G233" s="145">
        <f>IF(Outline!$C$14&gt;0,Gradesheet!U231,Gradesheet!AY231)</f>
        <v>0</v>
      </c>
      <c r="H233" s="146">
        <f t="shared" si="4"/>
        <v>0</v>
      </c>
    </row>
    <row r="234" spans="2:8" hidden="1" x14ac:dyDescent="0.25">
      <c r="B234" s="90">
        <f>Gradesheet!A262</f>
        <v>39</v>
      </c>
      <c r="C234" s="91">
        <f>(Gradesheet!B262)</f>
        <v>0</v>
      </c>
      <c r="D234" s="92">
        <f>IF(Outline!$C$14&gt;0,Gradesheet!AD262,Gradesheet!AK262)</f>
        <v>0</v>
      </c>
      <c r="E234" s="145">
        <f>IF(Outline!$C$14&gt;0,Gradesheet!L262,Gradesheet!AR262)</f>
        <v>0</v>
      </c>
      <c r="F234" s="145">
        <f>IF(Outline!$C$14&gt;0,Gradesheet!AZ262,"NA")</f>
        <v>0</v>
      </c>
      <c r="G234" s="145">
        <f>IF(Outline!$C$14&gt;0,Gradesheet!U232,Gradesheet!AY232)</f>
        <v>0</v>
      </c>
      <c r="H234" s="146">
        <f t="shared" si="4"/>
        <v>0</v>
      </c>
    </row>
    <row r="235" spans="2:8" hidden="1" x14ac:dyDescent="0.25">
      <c r="B235" s="90">
        <f>Gradesheet!A263</f>
        <v>40</v>
      </c>
      <c r="C235" s="91">
        <f>(Gradesheet!B263)</f>
        <v>0</v>
      </c>
      <c r="D235" s="92">
        <f>IF(Outline!$C$14&gt;0,Gradesheet!AD263,Gradesheet!AK263)</f>
        <v>0</v>
      </c>
      <c r="E235" s="145">
        <f>IF(Outline!$C$14&gt;0,Gradesheet!L263,Gradesheet!AR263)</f>
        <v>0</v>
      </c>
      <c r="F235" s="145">
        <f>IF(Outline!$C$14&gt;0,Gradesheet!AZ263,"NA")</f>
        <v>0</v>
      </c>
      <c r="G235" s="145">
        <f>IF(Outline!$C$14&gt;0,Gradesheet!U233,Gradesheet!AY233)</f>
        <v>0</v>
      </c>
      <c r="H235" s="146">
        <f t="shared" si="4"/>
        <v>0</v>
      </c>
    </row>
    <row r="236" spans="2:8" hidden="1" x14ac:dyDescent="0.25">
      <c r="B236" s="90">
        <f>Gradesheet!A264</f>
        <v>41</v>
      </c>
      <c r="C236" s="91">
        <f>(Gradesheet!B264)</f>
        <v>0</v>
      </c>
      <c r="D236" s="92">
        <f>IF(Outline!$C$14&gt;0,Gradesheet!AD264,Gradesheet!AK264)</f>
        <v>0</v>
      </c>
      <c r="E236" s="145">
        <f>IF(Outline!$C$14&gt;0,Gradesheet!L264,Gradesheet!AR264)</f>
        <v>0</v>
      </c>
      <c r="F236" s="145">
        <f>IF(Outline!$C$14&gt;0,Gradesheet!AZ264,"NA")</f>
        <v>0</v>
      </c>
      <c r="G236" s="145">
        <f>IF(Outline!$C$14&gt;0,Gradesheet!U234,Gradesheet!AY234)</f>
        <v>0</v>
      </c>
      <c r="H236" s="146">
        <f t="shared" si="4"/>
        <v>0</v>
      </c>
    </row>
    <row r="237" spans="2:8" hidden="1" x14ac:dyDescent="0.25">
      <c r="B237" s="90">
        <f>Gradesheet!A265</f>
        <v>42</v>
      </c>
      <c r="C237" s="91">
        <f>(Gradesheet!B265)</f>
        <v>0</v>
      </c>
      <c r="D237" s="92">
        <f>IF(Outline!$C$14&gt;0,Gradesheet!AD265,Gradesheet!AK265)</f>
        <v>0</v>
      </c>
      <c r="E237" s="145">
        <f>IF(Outline!$C$14&gt;0,Gradesheet!L265,Gradesheet!AR265)</f>
        <v>0</v>
      </c>
      <c r="F237" s="145">
        <f>IF(Outline!$C$14&gt;0,Gradesheet!AZ265,"NA")</f>
        <v>0</v>
      </c>
      <c r="G237" s="145">
        <f>IF(Outline!$C$14&gt;0,Gradesheet!U235,Gradesheet!AY235)</f>
        <v>0</v>
      </c>
      <c r="H237" s="146">
        <f t="shared" si="4"/>
        <v>0</v>
      </c>
    </row>
    <row r="238" spans="2:8" hidden="1" x14ac:dyDescent="0.25">
      <c r="B238" s="90">
        <f>Gradesheet!A266</f>
        <v>0</v>
      </c>
      <c r="C238" s="91">
        <f>(Gradesheet!B266)</f>
        <v>0</v>
      </c>
      <c r="D238" s="92">
        <f>IF(Outline!$C$14&gt;0,Gradesheet!AD266,Gradesheet!AK266)</f>
        <v>0</v>
      </c>
      <c r="E238" s="145">
        <f>IF(Outline!$C$14&gt;0,Gradesheet!L266,Gradesheet!AR266)</f>
        <v>0</v>
      </c>
      <c r="F238" s="145">
        <f>IF(Outline!$C$14&gt;0,Gradesheet!AZ266,"NA")</f>
        <v>0</v>
      </c>
      <c r="G238" s="145">
        <f>IF(Outline!$C$14&gt;0,Gradesheet!U236,Gradesheet!AY236)</f>
        <v>0</v>
      </c>
      <c r="H238" s="146">
        <f t="shared" si="4"/>
        <v>0</v>
      </c>
    </row>
    <row r="239" spans="2:8" hidden="1" x14ac:dyDescent="0.25">
      <c r="B239" s="90">
        <f>Gradesheet!A267</f>
        <v>1</v>
      </c>
      <c r="C239" s="91">
        <f>(Gradesheet!B267)</f>
        <v>0</v>
      </c>
      <c r="D239" s="92">
        <f>IF(Outline!$C$14&gt;0,Gradesheet!AD267,Gradesheet!AK267)</f>
        <v>0</v>
      </c>
      <c r="E239" s="145">
        <f>IF(Outline!$C$14&gt;0,Gradesheet!L267,Gradesheet!AR267)</f>
        <v>0</v>
      </c>
      <c r="F239" s="145">
        <f>IF(Outline!$C$14&gt;0,Gradesheet!AZ267,"NA")</f>
        <v>0</v>
      </c>
      <c r="G239" s="145">
        <f>IF(Outline!$C$14&gt;0,Gradesheet!U237,Gradesheet!AY237)</f>
        <v>0</v>
      </c>
      <c r="H239" s="146">
        <f t="shared" si="4"/>
        <v>0</v>
      </c>
    </row>
    <row r="240" spans="2:8" hidden="1" x14ac:dyDescent="0.25">
      <c r="B240" s="90">
        <f>Gradesheet!A268</f>
        <v>2</v>
      </c>
      <c r="C240" s="91">
        <f>(Gradesheet!B268)</f>
        <v>0</v>
      </c>
      <c r="D240" s="92">
        <f>IF(Outline!$C$14&gt;0,Gradesheet!AD268,Gradesheet!AK268)</f>
        <v>0</v>
      </c>
      <c r="E240" s="145">
        <f>IF(Outline!$C$14&gt;0,Gradesheet!L268,Gradesheet!AR268)</f>
        <v>0</v>
      </c>
      <c r="F240" s="145">
        <f>IF(Outline!$C$14&gt;0,Gradesheet!AZ268,"NA")</f>
        <v>0</v>
      </c>
      <c r="G240" s="145">
        <f>IF(Outline!$C$14&gt;0,Gradesheet!U238,Gradesheet!AY238)</f>
        <v>0</v>
      </c>
      <c r="H240" s="146">
        <f t="shared" si="4"/>
        <v>0</v>
      </c>
    </row>
    <row r="241" spans="2:8" hidden="1" x14ac:dyDescent="0.25">
      <c r="B241" s="90">
        <f>Gradesheet!A269</f>
        <v>3</v>
      </c>
      <c r="C241" s="91">
        <f>(Gradesheet!B269)</f>
        <v>0</v>
      </c>
      <c r="D241" s="92">
        <f>IF(Outline!$C$14&gt;0,Gradesheet!AD269,Gradesheet!AK269)</f>
        <v>0</v>
      </c>
      <c r="E241" s="145">
        <f>IF(Outline!$C$14&gt;0,Gradesheet!L269,Gradesheet!AR269)</f>
        <v>0</v>
      </c>
      <c r="F241" s="145">
        <f>IF(Outline!$C$14&gt;0,Gradesheet!AZ269,"NA")</f>
        <v>0</v>
      </c>
      <c r="G241" s="145">
        <f>IF(Outline!$C$14&gt;0,Gradesheet!U239,Gradesheet!AY239)</f>
        <v>0</v>
      </c>
      <c r="H241" s="146">
        <f t="shared" si="4"/>
        <v>0</v>
      </c>
    </row>
    <row r="242" spans="2:8" hidden="1" x14ac:dyDescent="0.25">
      <c r="B242" s="90">
        <f>Gradesheet!A270</f>
        <v>4</v>
      </c>
      <c r="C242" s="91">
        <f>(Gradesheet!B270)</f>
        <v>0</v>
      </c>
      <c r="D242" s="92">
        <f>IF(Outline!$C$14&gt;0,Gradesheet!AD270,Gradesheet!AK270)</f>
        <v>0</v>
      </c>
      <c r="E242" s="145">
        <f>IF(Outline!$C$14&gt;0,Gradesheet!L270,Gradesheet!AR270)</f>
        <v>0</v>
      </c>
      <c r="F242" s="145">
        <f>IF(Outline!$C$14&gt;0,Gradesheet!AZ270,"NA")</f>
        <v>0</v>
      </c>
      <c r="G242" s="145">
        <f>IF(Outline!$C$14&gt;0,Gradesheet!U240,Gradesheet!AY240)</f>
        <v>0</v>
      </c>
      <c r="H242" s="146">
        <f t="shared" si="4"/>
        <v>0</v>
      </c>
    </row>
    <row r="243" spans="2:8" hidden="1" x14ac:dyDescent="0.25">
      <c r="B243" s="90">
        <f>Gradesheet!A271</f>
        <v>5</v>
      </c>
      <c r="C243" s="91">
        <f>(Gradesheet!B271)</f>
        <v>0</v>
      </c>
      <c r="D243" s="92">
        <f>IF(Outline!$C$14&gt;0,Gradesheet!AD271,Gradesheet!AK271)</f>
        <v>0</v>
      </c>
      <c r="E243" s="145">
        <f>IF(Outline!$C$14&gt;0,Gradesheet!L271,Gradesheet!AR271)</f>
        <v>0</v>
      </c>
      <c r="F243" s="145">
        <f>IF(Outline!$C$14&gt;0,Gradesheet!AZ271,"NA")</f>
        <v>0</v>
      </c>
      <c r="G243" s="145">
        <f>IF(Outline!$C$14&gt;0,Gradesheet!U241,Gradesheet!AY241)</f>
        <v>0</v>
      </c>
      <c r="H243" s="146">
        <f t="shared" si="4"/>
        <v>0</v>
      </c>
    </row>
    <row r="244" spans="2:8" hidden="1" x14ac:dyDescent="0.25">
      <c r="B244" s="90">
        <f>Gradesheet!A272</f>
        <v>6</v>
      </c>
      <c r="C244" s="91">
        <f>(Gradesheet!B272)</f>
        <v>0</v>
      </c>
      <c r="D244" s="92">
        <f>IF(Outline!$C$14&gt;0,Gradesheet!AD272,Gradesheet!AK272)</f>
        <v>0</v>
      </c>
      <c r="E244" s="145">
        <f>IF(Outline!$C$14&gt;0,Gradesheet!L272,Gradesheet!AR272)</f>
        <v>0</v>
      </c>
      <c r="F244" s="145">
        <f>IF(Outline!$C$14&gt;0,Gradesheet!AZ272,"NA")</f>
        <v>0</v>
      </c>
      <c r="G244" s="145">
        <f>IF(Outline!$C$14&gt;0,Gradesheet!U242,Gradesheet!AY242)</f>
        <v>0</v>
      </c>
      <c r="H244" s="146">
        <f t="shared" si="4"/>
        <v>0</v>
      </c>
    </row>
    <row r="245" spans="2:8" hidden="1" x14ac:dyDescent="0.25">
      <c r="B245" s="90">
        <f>Gradesheet!A273</f>
        <v>7</v>
      </c>
      <c r="C245" s="91">
        <f>(Gradesheet!B273)</f>
        <v>0</v>
      </c>
      <c r="D245" s="92">
        <f>IF(Outline!$C$14&gt;0,Gradesheet!AD273,Gradesheet!AK273)</f>
        <v>0</v>
      </c>
      <c r="E245" s="145">
        <f>IF(Outline!$C$14&gt;0,Gradesheet!L273,Gradesheet!AR273)</f>
        <v>0</v>
      </c>
      <c r="F245" s="145">
        <f>IF(Outline!$C$14&gt;0,Gradesheet!AZ273,"NA")</f>
        <v>0</v>
      </c>
      <c r="G245" s="145">
        <f>IF(Outline!$C$14&gt;0,Gradesheet!U243,Gradesheet!AY243)</f>
        <v>0</v>
      </c>
      <c r="H245" s="146">
        <f t="shared" si="4"/>
        <v>0</v>
      </c>
    </row>
    <row r="246" spans="2:8" hidden="1" x14ac:dyDescent="0.25">
      <c r="B246" s="90">
        <f>Gradesheet!A274</f>
        <v>8</v>
      </c>
      <c r="C246" s="91">
        <f>(Gradesheet!B274)</f>
        <v>0</v>
      </c>
      <c r="D246" s="92">
        <f>IF(Outline!$C$14&gt;0,Gradesheet!AD274,Gradesheet!AK274)</f>
        <v>0</v>
      </c>
      <c r="E246" s="145">
        <f>IF(Outline!$C$14&gt;0,Gradesheet!L274,Gradesheet!AR274)</f>
        <v>0</v>
      </c>
      <c r="F246" s="145">
        <f>IF(Outline!$C$14&gt;0,Gradesheet!AZ274,"NA")</f>
        <v>0</v>
      </c>
      <c r="G246" s="145">
        <f>IF(Outline!$C$14&gt;0,Gradesheet!U244,Gradesheet!AY244)</f>
        <v>0</v>
      </c>
      <c r="H246" s="146">
        <f t="shared" si="4"/>
        <v>0</v>
      </c>
    </row>
    <row r="247" spans="2:8" hidden="1" x14ac:dyDescent="0.25">
      <c r="B247" s="90">
        <f>Gradesheet!A275</f>
        <v>9</v>
      </c>
      <c r="C247" s="91">
        <f>(Gradesheet!B275)</f>
        <v>0</v>
      </c>
      <c r="D247" s="92">
        <f>IF(Outline!$C$14&gt;0,Gradesheet!AD275,Gradesheet!AK275)</f>
        <v>0</v>
      </c>
      <c r="E247" s="145">
        <f>IF(Outline!$C$14&gt;0,Gradesheet!L275,Gradesheet!AR275)</f>
        <v>0</v>
      </c>
      <c r="F247" s="145">
        <f>IF(Outline!$C$14&gt;0,Gradesheet!AZ275,"NA")</f>
        <v>0</v>
      </c>
      <c r="G247" s="145">
        <f>IF(Outline!$C$14&gt;0,Gradesheet!U245,Gradesheet!AY245)</f>
        <v>0</v>
      </c>
      <c r="H247" s="146">
        <f t="shared" si="4"/>
        <v>0</v>
      </c>
    </row>
    <row r="248" spans="2:8" hidden="1" x14ac:dyDescent="0.25">
      <c r="B248" s="90">
        <f>Gradesheet!A276</f>
        <v>10</v>
      </c>
      <c r="C248" s="91">
        <f>(Gradesheet!B276)</f>
        <v>0</v>
      </c>
      <c r="D248" s="92">
        <f>IF(Outline!$C$14&gt;0,Gradesheet!AD276,Gradesheet!AK276)</f>
        <v>0</v>
      </c>
      <c r="E248" s="145">
        <f>IF(Outline!$C$14&gt;0,Gradesheet!L276,Gradesheet!AR276)</f>
        <v>0</v>
      </c>
      <c r="F248" s="145">
        <f>IF(Outline!$C$14&gt;0,Gradesheet!AZ276,"NA")</f>
        <v>0</v>
      </c>
      <c r="G248" s="145">
        <f>IF(Outline!$C$14&gt;0,Gradesheet!U246,Gradesheet!AY246)</f>
        <v>0</v>
      </c>
      <c r="H248" s="146">
        <f t="shared" si="4"/>
        <v>0</v>
      </c>
    </row>
    <row r="249" spans="2:8" hidden="1" x14ac:dyDescent="0.25">
      <c r="B249" s="90">
        <f>Gradesheet!A277</f>
        <v>11</v>
      </c>
      <c r="C249" s="91">
        <f>(Gradesheet!B277)</f>
        <v>0</v>
      </c>
      <c r="D249" s="92">
        <f>IF(Outline!$C$14&gt;0,Gradesheet!AD277,Gradesheet!AK277)</f>
        <v>0</v>
      </c>
      <c r="E249" s="145">
        <f>IF(Outline!$C$14&gt;0,Gradesheet!L277,Gradesheet!AR277)</f>
        <v>0</v>
      </c>
      <c r="F249" s="145">
        <f>IF(Outline!$C$14&gt;0,Gradesheet!AZ277,"NA")</f>
        <v>0</v>
      </c>
      <c r="G249" s="145">
        <f>IF(Outline!$C$14&gt;0,Gradesheet!U247,Gradesheet!AY247)</f>
        <v>0</v>
      </c>
      <c r="H249" s="146">
        <f t="shared" si="4"/>
        <v>0</v>
      </c>
    </row>
    <row r="250" spans="2:8" hidden="1" x14ac:dyDescent="0.25">
      <c r="B250" s="90">
        <f>Gradesheet!A278</f>
        <v>12</v>
      </c>
      <c r="C250" s="91">
        <f>(Gradesheet!B278)</f>
        <v>0</v>
      </c>
      <c r="D250" s="92">
        <f>IF(Outline!$C$14&gt;0,Gradesheet!AD278,Gradesheet!AK278)</f>
        <v>0</v>
      </c>
      <c r="E250" s="145">
        <f>IF(Outline!$C$14&gt;0,Gradesheet!L278,Gradesheet!AR278)</f>
        <v>0</v>
      </c>
      <c r="F250" s="145">
        <f>IF(Outline!$C$14&gt;0,Gradesheet!AZ278,"NA")</f>
        <v>0</v>
      </c>
      <c r="G250" s="145">
        <f>IF(Outline!$C$14&gt;0,Gradesheet!U248,Gradesheet!AY248)</f>
        <v>0</v>
      </c>
      <c r="H250" s="146">
        <f t="shared" si="4"/>
        <v>0</v>
      </c>
    </row>
    <row r="251" spans="2:8" hidden="1" x14ac:dyDescent="0.25">
      <c r="B251" s="90">
        <f>Gradesheet!A279</f>
        <v>13</v>
      </c>
      <c r="C251" s="91">
        <f>(Gradesheet!B279)</f>
        <v>0</v>
      </c>
      <c r="D251" s="92">
        <f>IF(Outline!$C$14&gt;0,Gradesheet!AD279,Gradesheet!AK279)</f>
        <v>0</v>
      </c>
      <c r="E251" s="145">
        <f>IF(Outline!$C$14&gt;0,Gradesheet!L279,Gradesheet!AR279)</f>
        <v>0</v>
      </c>
      <c r="F251" s="145">
        <f>IF(Outline!$C$14&gt;0,Gradesheet!AZ279,"NA")</f>
        <v>0</v>
      </c>
      <c r="G251" s="145">
        <f>IF(Outline!$C$14&gt;0,Gradesheet!U249,Gradesheet!AY249)</f>
        <v>0</v>
      </c>
      <c r="H251" s="146">
        <f t="shared" si="4"/>
        <v>0</v>
      </c>
    </row>
    <row r="252" spans="2:8" hidden="1" x14ac:dyDescent="0.25">
      <c r="B252" s="90">
        <f>Gradesheet!A280</f>
        <v>14</v>
      </c>
      <c r="C252" s="91">
        <f>(Gradesheet!B280)</f>
        <v>0</v>
      </c>
      <c r="D252" s="92">
        <f>IF(Outline!$C$14&gt;0,Gradesheet!AD280,Gradesheet!AK280)</f>
        <v>0</v>
      </c>
      <c r="E252" s="145">
        <f>IF(Outline!$C$14&gt;0,Gradesheet!L280,Gradesheet!AR280)</f>
        <v>0</v>
      </c>
      <c r="F252" s="145">
        <f>IF(Outline!$C$14&gt;0,Gradesheet!AZ280,"NA")</f>
        <v>0</v>
      </c>
      <c r="G252" s="145">
        <f>IF(Outline!$C$14&gt;0,Gradesheet!U250,Gradesheet!AY250)</f>
        <v>0</v>
      </c>
      <c r="H252" s="146">
        <f t="shared" si="4"/>
        <v>0</v>
      </c>
    </row>
    <row r="253" spans="2:8" hidden="1" x14ac:dyDescent="0.25">
      <c r="B253" s="90">
        <f>Gradesheet!A281</f>
        <v>15</v>
      </c>
      <c r="C253" s="91">
        <f>(Gradesheet!B281)</f>
        <v>0</v>
      </c>
      <c r="D253" s="92">
        <f>IF(Outline!$C$14&gt;0,Gradesheet!AD281,Gradesheet!AK281)</f>
        <v>0</v>
      </c>
      <c r="E253" s="145">
        <f>IF(Outline!$C$14&gt;0,Gradesheet!L281,Gradesheet!AR281)</f>
        <v>0</v>
      </c>
      <c r="F253" s="145">
        <f>IF(Outline!$C$14&gt;0,Gradesheet!AZ281,"NA")</f>
        <v>0</v>
      </c>
      <c r="G253" s="145">
        <f>IF(Outline!$C$14&gt;0,Gradesheet!U251,Gradesheet!AY251)</f>
        <v>0</v>
      </c>
      <c r="H253" s="146">
        <f t="shared" si="4"/>
        <v>0</v>
      </c>
    </row>
    <row r="254" spans="2:8" hidden="1" x14ac:dyDescent="0.25">
      <c r="B254" s="90">
        <f>Gradesheet!A282</f>
        <v>16</v>
      </c>
      <c r="C254" s="91">
        <f>(Gradesheet!B282)</f>
        <v>0</v>
      </c>
      <c r="D254" s="92">
        <f>IF(Outline!$C$14&gt;0,Gradesheet!AD282,Gradesheet!AK282)</f>
        <v>0</v>
      </c>
      <c r="E254" s="145">
        <f>IF(Outline!$C$14&gt;0,Gradesheet!L282,Gradesheet!AR282)</f>
        <v>0</v>
      </c>
      <c r="F254" s="145">
        <f>IF(Outline!$C$14&gt;0,Gradesheet!AZ282,"NA")</f>
        <v>0</v>
      </c>
      <c r="G254" s="145">
        <f>IF(Outline!$C$14&gt;0,Gradesheet!U252,Gradesheet!AY252)</f>
        <v>0</v>
      </c>
      <c r="H254" s="146">
        <f t="shared" si="4"/>
        <v>0</v>
      </c>
    </row>
    <row r="255" spans="2:8" hidden="1" x14ac:dyDescent="0.25">
      <c r="B255" s="90">
        <f>Gradesheet!A283</f>
        <v>17</v>
      </c>
      <c r="C255" s="91">
        <f>(Gradesheet!B283)</f>
        <v>0</v>
      </c>
      <c r="D255" s="92">
        <f>IF(Outline!$C$14&gt;0,Gradesheet!AD283,Gradesheet!AK283)</f>
        <v>0</v>
      </c>
      <c r="E255" s="145">
        <f>IF(Outline!$C$14&gt;0,Gradesheet!L283,Gradesheet!AR283)</f>
        <v>0</v>
      </c>
      <c r="F255" s="145">
        <f>IF(Outline!$C$14&gt;0,Gradesheet!AZ283,"NA")</f>
        <v>0</v>
      </c>
      <c r="G255" s="145">
        <f>IF(Outline!$C$14&gt;0,Gradesheet!U253,Gradesheet!AY253)</f>
        <v>0</v>
      </c>
      <c r="H255" s="146">
        <f t="shared" si="4"/>
        <v>0</v>
      </c>
    </row>
    <row r="256" spans="2:8" hidden="1" x14ac:dyDescent="0.25">
      <c r="B256" s="90">
        <f>Gradesheet!A284</f>
        <v>18</v>
      </c>
      <c r="C256" s="91">
        <f>(Gradesheet!B284)</f>
        <v>0</v>
      </c>
      <c r="D256" s="92">
        <f>IF(Outline!$C$14&gt;0,Gradesheet!AD284,Gradesheet!AK284)</f>
        <v>0</v>
      </c>
      <c r="E256" s="145">
        <f>IF(Outline!$C$14&gt;0,Gradesheet!L284,Gradesheet!AR284)</f>
        <v>0</v>
      </c>
      <c r="F256" s="145">
        <f>IF(Outline!$C$14&gt;0,Gradesheet!AZ284,"NA")</f>
        <v>0</v>
      </c>
      <c r="G256" s="145">
        <f>IF(Outline!$C$14&gt;0,Gradesheet!U254,Gradesheet!AY254)</f>
        <v>0</v>
      </c>
      <c r="H256" s="146">
        <f t="shared" si="4"/>
        <v>0</v>
      </c>
    </row>
    <row r="257" spans="2:8" hidden="1" x14ac:dyDescent="0.25">
      <c r="B257" s="90">
        <f>Gradesheet!A285</f>
        <v>19</v>
      </c>
      <c r="C257" s="91">
        <f>(Gradesheet!B285)</f>
        <v>0</v>
      </c>
      <c r="D257" s="92">
        <f>IF(Outline!$C$14&gt;0,Gradesheet!AD285,Gradesheet!AK285)</f>
        <v>0</v>
      </c>
      <c r="E257" s="145">
        <f>IF(Outline!$C$14&gt;0,Gradesheet!L285,Gradesheet!AR285)</f>
        <v>0</v>
      </c>
      <c r="F257" s="145">
        <f>IF(Outline!$C$14&gt;0,Gradesheet!AZ285,"NA")</f>
        <v>0</v>
      </c>
      <c r="G257" s="145">
        <f>IF(Outline!$C$14&gt;0,Gradesheet!U255,Gradesheet!AY255)</f>
        <v>0</v>
      </c>
      <c r="H257" s="146">
        <f t="shared" si="4"/>
        <v>0</v>
      </c>
    </row>
    <row r="258" spans="2:8" hidden="1" x14ac:dyDescent="0.25">
      <c r="B258" s="90">
        <f>Gradesheet!A286</f>
        <v>20</v>
      </c>
      <c r="C258" s="91">
        <f>(Gradesheet!B286)</f>
        <v>0</v>
      </c>
      <c r="D258" s="92">
        <f>IF(Outline!$C$14&gt;0,Gradesheet!AD286,Gradesheet!AK286)</f>
        <v>0</v>
      </c>
      <c r="E258" s="145">
        <f>IF(Outline!$C$14&gt;0,Gradesheet!L286,Gradesheet!AR286)</f>
        <v>0</v>
      </c>
      <c r="F258" s="145">
        <f>IF(Outline!$C$14&gt;0,Gradesheet!AZ286,"NA")</f>
        <v>0</v>
      </c>
      <c r="G258" s="145">
        <f>IF(Outline!$C$14&gt;0,Gradesheet!U256,Gradesheet!AY256)</f>
        <v>0</v>
      </c>
      <c r="H258" s="146">
        <f t="shared" si="4"/>
        <v>0</v>
      </c>
    </row>
    <row r="259" spans="2:8" hidden="1" x14ac:dyDescent="0.25">
      <c r="B259" s="90">
        <f>Gradesheet!A287</f>
        <v>21</v>
      </c>
      <c r="C259" s="91">
        <f>(Gradesheet!B287)</f>
        <v>0</v>
      </c>
      <c r="D259" s="92">
        <f>IF(Outline!$C$14&gt;0,Gradesheet!AD287,Gradesheet!AK287)</f>
        <v>0</v>
      </c>
      <c r="E259" s="145">
        <f>IF(Outline!$C$14&gt;0,Gradesheet!L287,Gradesheet!AR287)</f>
        <v>0</v>
      </c>
      <c r="F259" s="145">
        <f>IF(Outline!$C$14&gt;0,Gradesheet!AZ287,"NA")</f>
        <v>0</v>
      </c>
      <c r="G259" s="145">
        <f>IF(Outline!$C$14&gt;0,Gradesheet!U257,Gradesheet!AY257)</f>
        <v>0</v>
      </c>
      <c r="H259" s="146">
        <f t="shared" si="4"/>
        <v>0</v>
      </c>
    </row>
    <row r="260" spans="2:8" hidden="1" x14ac:dyDescent="0.25">
      <c r="B260" s="90">
        <f>Gradesheet!A288</f>
        <v>22</v>
      </c>
      <c r="C260" s="91">
        <f>(Gradesheet!B288)</f>
        <v>0</v>
      </c>
      <c r="D260" s="92">
        <f>IF(Outline!$C$14&gt;0,Gradesheet!AD288,Gradesheet!AK288)</f>
        <v>0</v>
      </c>
      <c r="E260" s="145">
        <f>IF(Outline!$C$14&gt;0,Gradesheet!L288,Gradesheet!AR288)</f>
        <v>0</v>
      </c>
      <c r="F260" s="145">
        <f>IF(Outline!$C$14&gt;0,Gradesheet!AZ288,"NA")</f>
        <v>0</v>
      </c>
      <c r="G260" s="145">
        <f>IF(Outline!$C$14&gt;0,Gradesheet!U258,Gradesheet!AY258)</f>
        <v>0</v>
      </c>
      <c r="H260" s="146">
        <f t="shared" si="4"/>
        <v>0</v>
      </c>
    </row>
    <row r="261" spans="2:8" hidden="1" x14ac:dyDescent="0.25">
      <c r="B261" s="90">
        <f>Gradesheet!A289</f>
        <v>23</v>
      </c>
      <c r="C261" s="91">
        <f>(Gradesheet!B289)</f>
        <v>0</v>
      </c>
      <c r="D261" s="92">
        <f>IF(Outline!$C$14&gt;0,Gradesheet!AD289,Gradesheet!AK289)</f>
        <v>0</v>
      </c>
      <c r="E261" s="145">
        <f>IF(Outline!$C$14&gt;0,Gradesheet!L289,Gradesheet!AR289)</f>
        <v>0</v>
      </c>
      <c r="F261" s="145">
        <f>IF(Outline!$C$14&gt;0,Gradesheet!AZ289,"NA")</f>
        <v>0</v>
      </c>
      <c r="G261" s="145">
        <f>IF(Outline!$C$14&gt;0,Gradesheet!U259,Gradesheet!AY259)</f>
        <v>0</v>
      </c>
      <c r="H261" s="146">
        <f t="shared" si="4"/>
        <v>0</v>
      </c>
    </row>
    <row r="262" spans="2:8" hidden="1" x14ac:dyDescent="0.25">
      <c r="B262" s="90">
        <f>Gradesheet!A290</f>
        <v>24</v>
      </c>
      <c r="C262" s="91">
        <f>(Gradesheet!B290)</f>
        <v>0</v>
      </c>
      <c r="D262" s="92">
        <f>IF(Outline!$C$14&gt;0,Gradesheet!AD290,Gradesheet!AK290)</f>
        <v>0</v>
      </c>
      <c r="E262" s="145">
        <f>IF(Outline!$C$14&gt;0,Gradesheet!L290,Gradesheet!AR290)</f>
        <v>0</v>
      </c>
      <c r="F262" s="145">
        <f>IF(Outline!$C$14&gt;0,Gradesheet!AZ290,"NA")</f>
        <v>0</v>
      </c>
      <c r="G262" s="145">
        <f>IF(Outline!$C$14&gt;0,Gradesheet!U260,Gradesheet!AY260)</f>
        <v>0</v>
      </c>
      <c r="H262" s="146">
        <f t="shared" si="4"/>
        <v>0</v>
      </c>
    </row>
    <row r="263" spans="2:8" hidden="1" x14ac:dyDescent="0.25">
      <c r="B263" s="90">
        <f>Gradesheet!A291</f>
        <v>25</v>
      </c>
      <c r="C263" s="91">
        <f>(Gradesheet!B291)</f>
        <v>0</v>
      </c>
      <c r="D263" s="92">
        <f>IF(Outline!$C$14&gt;0,Gradesheet!AD291,Gradesheet!AK291)</f>
        <v>0</v>
      </c>
      <c r="E263" s="145">
        <f>IF(Outline!$C$14&gt;0,Gradesheet!L291,Gradesheet!AR291)</f>
        <v>0</v>
      </c>
      <c r="F263" s="145">
        <f>IF(Outline!$C$14&gt;0,Gradesheet!AZ291,"NA")</f>
        <v>0</v>
      </c>
      <c r="G263" s="145">
        <f>IF(Outline!$C$14&gt;0,Gradesheet!U261,Gradesheet!AY261)</f>
        <v>0</v>
      </c>
      <c r="H263" s="146">
        <f t="shared" ref="H263:H326" si="5">SUM(D263:G263)</f>
        <v>0</v>
      </c>
    </row>
    <row r="264" spans="2:8" hidden="1" x14ac:dyDescent="0.25">
      <c r="B264" s="90">
        <f>Gradesheet!A292</f>
        <v>26</v>
      </c>
      <c r="C264" s="91">
        <f>(Gradesheet!B292)</f>
        <v>0</v>
      </c>
      <c r="D264" s="92">
        <f>IF(Outline!$C$14&gt;0,Gradesheet!AD292,Gradesheet!AK292)</f>
        <v>0</v>
      </c>
      <c r="E264" s="145">
        <f>IF(Outline!$C$14&gt;0,Gradesheet!L292,Gradesheet!AR292)</f>
        <v>0</v>
      </c>
      <c r="F264" s="145">
        <f>IF(Outline!$C$14&gt;0,Gradesheet!AZ292,"NA")</f>
        <v>0</v>
      </c>
      <c r="G264" s="145">
        <f>IF(Outline!$C$14&gt;0,Gradesheet!U262,Gradesheet!AY262)</f>
        <v>0</v>
      </c>
      <c r="H264" s="146">
        <f t="shared" si="5"/>
        <v>0</v>
      </c>
    </row>
    <row r="265" spans="2:8" hidden="1" x14ac:dyDescent="0.25">
      <c r="B265" s="90">
        <f>Gradesheet!A293</f>
        <v>27</v>
      </c>
      <c r="C265" s="91">
        <f>(Gradesheet!B293)</f>
        <v>0</v>
      </c>
      <c r="D265" s="92">
        <f>IF(Outline!$C$14&gt;0,Gradesheet!AD293,Gradesheet!AK293)</f>
        <v>0</v>
      </c>
      <c r="E265" s="145">
        <f>IF(Outline!$C$14&gt;0,Gradesheet!L293,Gradesheet!AR293)</f>
        <v>0</v>
      </c>
      <c r="F265" s="145">
        <f>IF(Outline!$C$14&gt;0,Gradesheet!AZ293,"NA")</f>
        <v>0</v>
      </c>
      <c r="G265" s="145">
        <f>IF(Outline!$C$14&gt;0,Gradesheet!U263,Gradesheet!AY263)</f>
        <v>0</v>
      </c>
      <c r="H265" s="146">
        <f t="shared" si="5"/>
        <v>0</v>
      </c>
    </row>
    <row r="266" spans="2:8" hidden="1" x14ac:dyDescent="0.25">
      <c r="B266" s="90">
        <f>Gradesheet!A294</f>
        <v>28</v>
      </c>
      <c r="C266" s="91">
        <f>(Gradesheet!B294)</f>
        <v>0</v>
      </c>
      <c r="D266" s="92">
        <f>IF(Outline!$C$14&gt;0,Gradesheet!AD294,Gradesheet!AK294)</f>
        <v>0</v>
      </c>
      <c r="E266" s="145">
        <f>IF(Outline!$C$14&gt;0,Gradesheet!L294,Gradesheet!AR294)</f>
        <v>0</v>
      </c>
      <c r="F266" s="145">
        <f>IF(Outline!$C$14&gt;0,Gradesheet!AZ294,"NA")</f>
        <v>0</v>
      </c>
      <c r="G266" s="145">
        <f>IF(Outline!$C$14&gt;0,Gradesheet!U264,Gradesheet!AY264)</f>
        <v>0</v>
      </c>
      <c r="H266" s="146">
        <f t="shared" si="5"/>
        <v>0</v>
      </c>
    </row>
    <row r="267" spans="2:8" hidden="1" x14ac:dyDescent="0.25">
      <c r="B267" s="90">
        <f>Gradesheet!A295</f>
        <v>29</v>
      </c>
      <c r="C267" s="91">
        <f>(Gradesheet!B295)</f>
        <v>0</v>
      </c>
      <c r="D267" s="92">
        <f>IF(Outline!$C$14&gt;0,Gradesheet!AD295,Gradesheet!AK295)</f>
        <v>0</v>
      </c>
      <c r="E267" s="145">
        <f>IF(Outline!$C$14&gt;0,Gradesheet!L295,Gradesheet!AR295)</f>
        <v>0</v>
      </c>
      <c r="F267" s="145">
        <f>IF(Outline!$C$14&gt;0,Gradesheet!AZ295,"NA")</f>
        <v>0</v>
      </c>
      <c r="G267" s="145">
        <f>IF(Outline!$C$14&gt;0,Gradesheet!U265,Gradesheet!AY265)</f>
        <v>0</v>
      </c>
      <c r="H267" s="146">
        <f t="shared" si="5"/>
        <v>0</v>
      </c>
    </row>
    <row r="268" spans="2:8" hidden="1" x14ac:dyDescent="0.25">
      <c r="B268" s="90">
        <f>Gradesheet!A296</f>
        <v>30</v>
      </c>
      <c r="C268" s="91">
        <f>(Gradesheet!B296)</f>
        <v>0</v>
      </c>
      <c r="D268" s="92">
        <f>IF(Outline!$C$14&gt;0,Gradesheet!AD296,Gradesheet!AK296)</f>
        <v>0</v>
      </c>
      <c r="E268" s="145">
        <f>IF(Outline!$C$14&gt;0,Gradesheet!L296,Gradesheet!AR296)</f>
        <v>0</v>
      </c>
      <c r="F268" s="145">
        <f>IF(Outline!$C$14&gt;0,Gradesheet!AZ296,"NA")</f>
        <v>0</v>
      </c>
      <c r="G268" s="145">
        <f>IF(Outline!$C$14&gt;0,Gradesheet!U266,Gradesheet!AY266)</f>
        <v>0</v>
      </c>
      <c r="H268" s="146">
        <f t="shared" si="5"/>
        <v>0</v>
      </c>
    </row>
    <row r="269" spans="2:8" hidden="1" x14ac:dyDescent="0.25">
      <c r="B269" s="90">
        <f>Gradesheet!A297</f>
        <v>31</v>
      </c>
      <c r="C269" s="91">
        <f>(Gradesheet!B297)</f>
        <v>0</v>
      </c>
      <c r="D269" s="92">
        <f>IF(Outline!$C$14&gt;0,Gradesheet!AD297,Gradesheet!AK297)</f>
        <v>0</v>
      </c>
      <c r="E269" s="145">
        <f>IF(Outline!$C$14&gt;0,Gradesheet!L297,Gradesheet!AR297)</f>
        <v>0</v>
      </c>
      <c r="F269" s="145">
        <f>IF(Outline!$C$14&gt;0,Gradesheet!AZ297,"NA")</f>
        <v>0</v>
      </c>
      <c r="G269" s="145">
        <f>IF(Outline!$C$14&gt;0,Gradesheet!U267,Gradesheet!AY267)</f>
        <v>0</v>
      </c>
      <c r="H269" s="146">
        <f t="shared" si="5"/>
        <v>0</v>
      </c>
    </row>
    <row r="270" spans="2:8" hidden="1" x14ac:dyDescent="0.25">
      <c r="B270" s="90">
        <f>Gradesheet!A298</f>
        <v>32</v>
      </c>
      <c r="C270" s="91">
        <f>(Gradesheet!B298)</f>
        <v>0</v>
      </c>
      <c r="D270" s="92">
        <f>IF(Outline!$C$14&gt;0,Gradesheet!AD298,Gradesheet!AK298)</f>
        <v>0</v>
      </c>
      <c r="E270" s="145">
        <f>IF(Outline!$C$14&gt;0,Gradesheet!L298,Gradesheet!AR298)</f>
        <v>0</v>
      </c>
      <c r="F270" s="145">
        <f>IF(Outline!$C$14&gt;0,Gradesheet!AZ298,"NA")</f>
        <v>0</v>
      </c>
      <c r="G270" s="145">
        <f>IF(Outline!$C$14&gt;0,Gradesheet!U268,Gradesheet!AY268)</f>
        <v>0</v>
      </c>
      <c r="H270" s="146">
        <f t="shared" si="5"/>
        <v>0</v>
      </c>
    </row>
    <row r="271" spans="2:8" hidden="1" x14ac:dyDescent="0.25">
      <c r="B271" s="90">
        <f>Gradesheet!A299</f>
        <v>33</v>
      </c>
      <c r="C271" s="91">
        <f>(Gradesheet!B299)</f>
        <v>0</v>
      </c>
      <c r="D271" s="92">
        <f>IF(Outline!$C$14&gt;0,Gradesheet!AD299,Gradesheet!AK299)</f>
        <v>0</v>
      </c>
      <c r="E271" s="145">
        <f>IF(Outline!$C$14&gt;0,Gradesheet!L299,Gradesheet!AR299)</f>
        <v>0</v>
      </c>
      <c r="F271" s="145">
        <f>IF(Outline!$C$14&gt;0,Gradesheet!AZ299,"NA")</f>
        <v>0</v>
      </c>
      <c r="G271" s="145">
        <f>IF(Outline!$C$14&gt;0,Gradesheet!U269,Gradesheet!AY269)</f>
        <v>0</v>
      </c>
      <c r="H271" s="146">
        <f t="shared" si="5"/>
        <v>0</v>
      </c>
    </row>
    <row r="272" spans="2:8" hidden="1" x14ac:dyDescent="0.25">
      <c r="B272" s="90">
        <f>Gradesheet!A300</f>
        <v>34</v>
      </c>
      <c r="C272" s="91">
        <f>(Gradesheet!B300)</f>
        <v>0</v>
      </c>
      <c r="D272" s="92">
        <f>IF(Outline!$C$14&gt;0,Gradesheet!AD300,Gradesheet!AK300)</f>
        <v>0</v>
      </c>
      <c r="E272" s="145">
        <f>IF(Outline!$C$14&gt;0,Gradesheet!L300,Gradesheet!AR300)</f>
        <v>0</v>
      </c>
      <c r="F272" s="145">
        <f>IF(Outline!$C$14&gt;0,Gradesheet!AZ300,"NA")</f>
        <v>0</v>
      </c>
      <c r="G272" s="145">
        <f>IF(Outline!$C$14&gt;0,Gradesheet!U270,Gradesheet!AY270)</f>
        <v>0</v>
      </c>
      <c r="H272" s="146">
        <f t="shared" si="5"/>
        <v>0</v>
      </c>
    </row>
    <row r="273" spans="2:8" hidden="1" x14ac:dyDescent="0.25">
      <c r="B273" s="90">
        <f>Gradesheet!A301</f>
        <v>35</v>
      </c>
      <c r="C273" s="91">
        <f>(Gradesheet!B301)</f>
        <v>0</v>
      </c>
      <c r="D273" s="92">
        <f>IF(Outline!$C$14&gt;0,Gradesheet!AD301,Gradesheet!AK301)</f>
        <v>0</v>
      </c>
      <c r="E273" s="145">
        <f>IF(Outline!$C$14&gt;0,Gradesheet!L301,Gradesheet!AR301)</f>
        <v>0</v>
      </c>
      <c r="F273" s="145">
        <f>IF(Outline!$C$14&gt;0,Gradesheet!AZ301,"NA")</f>
        <v>0</v>
      </c>
      <c r="G273" s="145">
        <f>IF(Outline!$C$14&gt;0,Gradesheet!U271,Gradesheet!AY271)</f>
        <v>0</v>
      </c>
      <c r="H273" s="146">
        <f t="shared" si="5"/>
        <v>0</v>
      </c>
    </row>
    <row r="274" spans="2:8" hidden="1" x14ac:dyDescent="0.25">
      <c r="B274" s="90">
        <f>Gradesheet!A302</f>
        <v>36</v>
      </c>
      <c r="C274" s="91">
        <f>(Gradesheet!B302)</f>
        <v>0</v>
      </c>
      <c r="D274" s="92">
        <f>IF(Outline!$C$14&gt;0,Gradesheet!AD302,Gradesheet!AK302)</f>
        <v>0</v>
      </c>
      <c r="E274" s="145">
        <f>IF(Outline!$C$14&gt;0,Gradesheet!L302,Gradesheet!AR302)</f>
        <v>0</v>
      </c>
      <c r="F274" s="145">
        <f>IF(Outline!$C$14&gt;0,Gradesheet!AZ302,"NA")</f>
        <v>0</v>
      </c>
      <c r="G274" s="145">
        <f>IF(Outline!$C$14&gt;0,Gradesheet!U272,Gradesheet!AY272)</f>
        <v>0</v>
      </c>
      <c r="H274" s="146">
        <f t="shared" si="5"/>
        <v>0</v>
      </c>
    </row>
    <row r="275" spans="2:8" hidden="1" x14ac:dyDescent="0.25">
      <c r="B275" s="90">
        <f>Gradesheet!A303</f>
        <v>37</v>
      </c>
      <c r="C275" s="91">
        <f>(Gradesheet!B303)</f>
        <v>0</v>
      </c>
      <c r="D275" s="92">
        <f>IF(Outline!$C$14&gt;0,Gradesheet!AD303,Gradesheet!AK303)</f>
        <v>0</v>
      </c>
      <c r="E275" s="145">
        <f>IF(Outline!$C$14&gt;0,Gradesheet!L303,Gradesheet!AR303)</f>
        <v>0</v>
      </c>
      <c r="F275" s="145">
        <f>IF(Outline!$C$14&gt;0,Gradesheet!AZ303,"NA")</f>
        <v>0</v>
      </c>
      <c r="G275" s="145">
        <f>IF(Outline!$C$14&gt;0,Gradesheet!U273,Gradesheet!AY273)</f>
        <v>0</v>
      </c>
      <c r="H275" s="146">
        <f t="shared" si="5"/>
        <v>0</v>
      </c>
    </row>
    <row r="276" spans="2:8" hidden="1" x14ac:dyDescent="0.25">
      <c r="B276" s="90">
        <f>Gradesheet!A304</f>
        <v>38</v>
      </c>
      <c r="C276" s="91">
        <f>(Gradesheet!B304)</f>
        <v>0</v>
      </c>
      <c r="D276" s="92">
        <f>IF(Outline!$C$14&gt;0,Gradesheet!AD304,Gradesheet!AK304)</f>
        <v>0</v>
      </c>
      <c r="E276" s="145">
        <f>IF(Outline!$C$14&gt;0,Gradesheet!L304,Gradesheet!AR304)</f>
        <v>0</v>
      </c>
      <c r="F276" s="145">
        <f>IF(Outline!$C$14&gt;0,Gradesheet!AZ304,"NA")</f>
        <v>0</v>
      </c>
      <c r="G276" s="145">
        <f>IF(Outline!$C$14&gt;0,Gradesheet!U274,Gradesheet!AY274)</f>
        <v>0</v>
      </c>
      <c r="H276" s="146">
        <f t="shared" si="5"/>
        <v>0</v>
      </c>
    </row>
    <row r="277" spans="2:8" hidden="1" x14ac:dyDescent="0.25">
      <c r="B277" s="90">
        <f>Gradesheet!A305</f>
        <v>39</v>
      </c>
      <c r="C277" s="91">
        <f>(Gradesheet!B305)</f>
        <v>0</v>
      </c>
      <c r="D277" s="92">
        <f>IF(Outline!$C$14&gt;0,Gradesheet!AD305,Gradesheet!AK305)</f>
        <v>0</v>
      </c>
      <c r="E277" s="145">
        <f>IF(Outline!$C$14&gt;0,Gradesheet!L305,Gradesheet!AR305)</f>
        <v>0</v>
      </c>
      <c r="F277" s="145">
        <f>IF(Outline!$C$14&gt;0,Gradesheet!AZ305,"NA")</f>
        <v>0</v>
      </c>
      <c r="G277" s="145">
        <f>IF(Outline!$C$14&gt;0,Gradesheet!U275,Gradesheet!AY275)</f>
        <v>0</v>
      </c>
      <c r="H277" s="146">
        <f t="shared" si="5"/>
        <v>0</v>
      </c>
    </row>
    <row r="278" spans="2:8" hidden="1" x14ac:dyDescent="0.25">
      <c r="B278" s="90">
        <f>Gradesheet!A306</f>
        <v>40</v>
      </c>
      <c r="C278" s="91">
        <f>(Gradesheet!B306)</f>
        <v>0</v>
      </c>
      <c r="D278" s="92">
        <f>IF(Outline!$C$14&gt;0,Gradesheet!AD306,Gradesheet!AK306)</f>
        <v>0</v>
      </c>
      <c r="E278" s="145">
        <f>IF(Outline!$C$14&gt;0,Gradesheet!L306,Gradesheet!AR306)</f>
        <v>0</v>
      </c>
      <c r="F278" s="145">
        <f>IF(Outline!$C$14&gt;0,Gradesheet!AZ306,"NA")</f>
        <v>0</v>
      </c>
      <c r="G278" s="145">
        <f>IF(Outline!$C$14&gt;0,Gradesheet!U276,Gradesheet!AY276)</f>
        <v>0</v>
      </c>
      <c r="H278" s="146">
        <f t="shared" si="5"/>
        <v>0</v>
      </c>
    </row>
    <row r="279" spans="2:8" hidden="1" x14ac:dyDescent="0.25">
      <c r="B279" s="90">
        <f>Gradesheet!A307</f>
        <v>41</v>
      </c>
      <c r="C279" s="91">
        <f>(Gradesheet!B307)</f>
        <v>0</v>
      </c>
      <c r="D279" s="92">
        <f>IF(Outline!$C$14&gt;0,Gradesheet!AD307,Gradesheet!AK307)</f>
        <v>0</v>
      </c>
      <c r="E279" s="145">
        <f>IF(Outline!$C$14&gt;0,Gradesheet!L307,Gradesheet!AR307)</f>
        <v>0</v>
      </c>
      <c r="F279" s="145">
        <f>IF(Outline!$C$14&gt;0,Gradesheet!AZ307,"NA")</f>
        <v>0</v>
      </c>
      <c r="G279" s="145">
        <f>IF(Outline!$C$14&gt;0,Gradesheet!U277,Gradesheet!AY277)</f>
        <v>0</v>
      </c>
      <c r="H279" s="146">
        <f t="shared" si="5"/>
        <v>0</v>
      </c>
    </row>
    <row r="280" spans="2:8" hidden="1" x14ac:dyDescent="0.25">
      <c r="B280" s="90">
        <f>Gradesheet!A308</f>
        <v>42</v>
      </c>
      <c r="C280" s="91">
        <f>(Gradesheet!B308)</f>
        <v>0</v>
      </c>
      <c r="D280" s="92">
        <f>IF(Outline!$C$14&gt;0,Gradesheet!AD308,Gradesheet!AK308)</f>
        <v>0</v>
      </c>
      <c r="E280" s="145">
        <f>IF(Outline!$C$14&gt;0,Gradesheet!L308,Gradesheet!AR308)</f>
        <v>0</v>
      </c>
      <c r="F280" s="145">
        <f>IF(Outline!$C$14&gt;0,Gradesheet!AZ308,"NA")</f>
        <v>0</v>
      </c>
      <c r="G280" s="145">
        <f>IF(Outline!$C$14&gt;0,Gradesheet!U278,Gradesheet!AY278)</f>
        <v>0</v>
      </c>
      <c r="H280" s="146">
        <f t="shared" si="5"/>
        <v>0</v>
      </c>
    </row>
    <row r="281" spans="2:8" hidden="1" x14ac:dyDescent="0.25">
      <c r="B281" s="90">
        <f>Gradesheet!A309</f>
        <v>0</v>
      </c>
      <c r="C281" s="91">
        <f>(Gradesheet!B309)</f>
        <v>0</v>
      </c>
      <c r="D281" s="92">
        <f>IF(Outline!$C$14&gt;0,Gradesheet!AD309,Gradesheet!AK309)</f>
        <v>0</v>
      </c>
      <c r="E281" s="145">
        <f>IF(Outline!$C$14&gt;0,Gradesheet!L309,Gradesheet!AR309)</f>
        <v>0</v>
      </c>
      <c r="F281" s="145">
        <f>IF(Outline!$C$14&gt;0,Gradesheet!AZ309,"NA")</f>
        <v>0</v>
      </c>
      <c r="G281" s="145">
        <f>IF(Outline!$C$14&gt;0,Gradesheet!U279,Gradesheet!AY279)</f>
        <v>0</v>
      </c>
      <c r="H281" s="146">
        <f t="shared" si="5"/>
        <v>0</v>
      </c>
    </row>
    <row r="282" spans="2:8" hidden="1" x14ac:dyDescent="0.25">
      <c r="B282" s="90">
        <f>Gradesheet!A310</f>
        <v>1</v>
      </c>
      <c r="C282" s="91">
        <f>(Gradesheet!B310)</f>
        <v>0</v>
      </c>
      <c r="D282" s="92">
        <f>IF(Outline!$C$14&gt;0,Gradesheet!AD310,Gradesheet!AK310)</f>
        <v>0</v>
      </c>
      <c r="E282" s="145">
        <f>IF(Outline!$C$14&gt;0,Gradesheet!L310,Gradesheet!AR310)</f>
        <v>0</v>
      </c>
      <c r="F282" s="145">
        <f>IF(Outline!$C$14&gt;0,Gradesheet!AZ310,"NA")</f>
        <v>0</v>
      </c>
      <c r="G282" s="145">
        <f>IF(Outline!$C$14&gt;0,Gradesheet!U280,Gradesheet!AY280)</f>
        <v>0</v>
      </c>
      <c r="H282" s="146">
        <f t="shared" si="5"/>
        <v>0</v>
      </c>
    </row>
    <row r="283" spans="2:8" hidden="1" x14ac:dyDescent="0.25">
      <c r="B283" s="90">
        <f>Gradesheet!A311</f>
        <v>2</v>
      </c>
      <c r="C283" s="91">
        <f>(Gradesheet!B311)</f>
        <v>0</v>
      </c>
      <c r="D283" s="92">
        <f>IF(Outline!$C$14&gt;0,Gradesheet!AD311,Gradesheet!AK311)</f>
        <v>0</v>
      </c>
      <c r="E283" s="145">
        <f>IF(Outline!$C$14&gt;0,Gradesheet!L311,Gradesheet!AR311)</f>
        <v>0</v>
      </c>
      <c r="F283" s="145">
        <f>IF(Outline!$C$14&gt;0,Gradesheet!AZ311,"NA")</f>
        <v>0</v>
      </c>
      <c r="G283" s="145">
        <f>IF(Outline!$C$14&gt;0,Gradesheet!U281,Gradesheet!AY281)</f>
        <v>0</v>
      </c>
      <c r="H283" s="146">
        <f t="shared" si="5"/>
        <v>0</v>
      </c>
    </row>
    <row r="284" spans="2:8" hidden="1" x14ac:dyDescent="0.25">
      <c r="B284" s="90">
        <f>Gradesheet!A312</f>
        <v>3</v>
      </c>
      <c r="C284" s="91">
        <f>(Gradesheet!B312)</f>
        <v>0</v>
      </c>
      <c r="D284" s="92">
        <f>IF(Outline!$C$14&gt;0,Gradesheet!AD312,Gradesheet!AK312)</f>
        <v>0</v>
      </c>
      <c r="E284" s="145">
        <f>IF(Outline!$C$14&gt;0,Gradesheet!L312,Gradesheet!AR312)</f>
        <v>0</v>
      </c>
      <c r="F284" s="145">
        <f>IF(Outline!$C$14&gt;0,Gradesheet!AZ312,"NA")</f>
        <v>0</v>
      </c>
      <c r="G284" s="145">
        <f>IF(Outline!$C$14&gt;0,Gradesheet!U282,Gradesheet!AY282)</f>
        <v>0</v>
      </c>
      <c r="H284" s="146">
        <f t="shared" si="5"/>
        <v>0</v>
      </c>
    </row>
    <row r="285" spans="2:8" hidden="1" x14ac:dyDescent="0.25">
      <c r="B285" s="90">
        <f>Gradesheet!A313</f>
        <v>4</v>
      </c>
      <c r="C285" s="91">
        <f>(Gradesheet!B313)</f>
        <v>0</v>
      </c>
      <c r="D285" s="92">
        <f>IF(Outline!$C$14&gt;0,Gradesheet!AD313,Gradesheet!AK313)</f>
        <v>0</v>
      </c>
      <c r="E285" s="145">
        <f>IF(Outline!$C$14&gt;0,Gradesheet!L313,Gradesheet!AR313)</f>
        <v>0</v>
      </c>
      <c r="F285" s="145">
        <f>IF(Outline!$C$14&gt;0,Gradesheet!AZ313,"NA")</f>
        <v>0</v>
      </c>
      <c r="G285" s="145">
        <f>IF(Outline!$C$14&gt;0,Gradesheet!U283,Gradesheet!AY283)</f>
        <v>0</v>
      </c>
      <c r="H285" s="146">
        <f t="shared" si="5"/>
        <v>0</v>
      </c>
    </row>
    <row r="286" spans="2:8" hidden="1" x14ac:dyDescent="0.25">
      <c r="B286" s="90">
        <f>Gradesheet!A314</f>
        <v>5</v>
      </c>
      <c r="C286" s="91">
        <f>(Gradesheet!B314)</f>
        <v>0</v>
      </c>
      <c r="D286" s="92">
        <f>IF(Outline!$C$14&gt;0,Gradesheet!AD314,Gradesheet!AK314)</f>
        <v>0</v>
      </c>
      <c r="E286" s="145">
        <f>IF(Outline!$C$14&gt;0,Gradesheet!L314,Gradesheet!AR314)</f>
        <v>0</v>
      </c>
      <c r="F286" s="145">
        <f>IF(Outline!$C$14&gt;0,Gradesheet!AZ314,"NA")</f>
        <v>0</v>
      </c>
      <c r="G286" s="145">
        <f>IF(Outline!$C$14&gt;0,Gradesheet!U284,Gradesheet!AY284)</f>
        <v>0</v>
      </c>
      <c r="H286" s="146">
        <f t="shared" si="5"/>
        <v>0</v>
      </c>
    </row>
    <row r="287" spans="2:8" hidden="1" x14ac:dyDescent="0.25">
      <c r="B287" s="90">
        <f>Gradesheet!A315</f>
        <v>6</v>
      </c>
      <c r="C287" s="91">
        <f>(Gradesheet!B315)</f>
        <v>0</v>
      </c>
      <c r="D287" s="92">
        <f>IF(Outline!$C$14&gt;0,Gradesheet!AD315,Gradesheet!AK315)</f>
        <v>0</v>
      </c>
      <c r="E287" s="145">
        <f>IF(Outline!$C$14&gt;0,Gradesheet!L315,Gradesheet!AR315)</f>
        <v>0</v>
      </c>
      <c r="F287" s="145">
        <f>IF(Outline!$C$14&gt;0,Gradesheet!AZ315,"NA")</f>
        <v>0</v>
      </c>
      <c r="G287" s="145">
        <f>IF(Outline!$C$14&gt;0,Gradesheet!U285,Gradesheet!AY285)</f>
        <v>0</v>
      </c>
      <c r="H287" s="146">
        <f t="shared" si="5"/>
        <v>0</v>
      </c>
    </row>
    <row r="288" spans="2:8" hidden="1" x14ac:dyDescent="0.25">
      <c r="B288" s="90">
        <f>Gradesheet!A316</f>
        <v>7</v>
      </c>
      <c r="C288" s="91">
        <f>(Gradesheet!B316)</f>
        <v>0</v>
      </c>
      <c r="D288" s="92">
        <f>IF(Outline!$C$14&gt;0,Gradesheet!AD316,Gradesheet!AK316)</f>
        <v>0</v>
      </c>
      <c r="E288" s="145">
        <f>IF(Outline!$C$14&gt;0,Gradesheet!L316,Gradesheet!AR316)</f>
        <v>0</v>
      </c>
      <c r="F288" s="145">
        <f>IF(Outline!$C$14&gt;0,Gradesheet!AZ316,"NA")</f>
        <v>0</v>
      </c>
      <c r="G288" s="145">
        <f>IF(Outline!$C$14&gt;0,Gradesheet!U286,Gradesheet!AY286)</f>
        <v>0</v>
      </c>
      <c r="H288" s="146">
        <f t="shared" si="5"/>
        <v>0</v>
      </c>
    </row>
    <row r="289" spans="2:8" hidden="1" x14ac:dyDescent="0.25">
      <c r="B289" s="90">
        <f>Gradesheet!A317</f>
        <v>8</v>
      </c>
      <c r="C289" s="91">
        <f>(Gradesheet!B317)</f>
        <v>0</v>
      </c>
      <c r="D289" s="92">
        <f>IF(Outline!$C$14&gt;0,Gradesheet!AD317,Gradesheet!AK317)</f>
        <v>0</v>
      </c>
      <c r="E289" s="145">
        <f>IF(Outline!$C$14&gt;0,Gradesheet!L317,Gradesheet!AR317)</f>
        <v>0</v>
      </c>
      <c r="F289" s="145">
        <f>IF(Outline!$C$14&gt;0,Gradesheet!AZ317,"NA")</f>
        <v>0</v>
      </c>
      <c r="G289" s="145">
        <f>IF(Outline!$C$14&gt;0,Gradesheet!U287,Gradesheet!AY287)</f>
        <v>0</v>
      </c>
      <c r="H289" s="146">
        <f t="shared" si="5"/>
        <v>0</v>
      </c>
    </row>
    <row r="290" spans="2:8" hidden="1" x14ac:dyDescent="0.25">
      <c r="B290" s="90">
        <f>Gradesheet!A318</f>
        <v>9</v>
      </c>
      <c r="C290" s="91">
        <f>(Gradesheet!B318)</f>
        <v>0</v>
      </c>
      <c r="D290" s="92">
        <f>IF(Outline!$C$14&gt;0,Gradesheet!AD318,Gradesheet!AK318)</f>
        <v>0</v>
      </c>
      <c r="E290" s="145">
        <f>IF(Outline!$C$14&gt;0,Gradesheet!L318,Gradesheet!AR318)</f>
        <v>0</v>
      </c>
      <c r="F290" s="145">
        <f>IF(Outline!$C$14&gt;0,Gradesheet!AZ318,"NA")</f>
        <v>0</v>
      </c>
      <c r="G290" s="145">
        <f>IF(Outline!$C$14&gt;0,Gradesheet!U288,Gradesheet!AY288)</f>
        <v>0</v>
      </c>
      <c r="H290" s="146">
        <f t="shared" si="5"/>
        <v>0</v>
      </c>
    </row>
    <row r="291" spans="2:8" hidden="1" x14ac:dyDescent="0.25">
      <c r="B291" s="90">
        <f>Gradesheet!A319</f>
        <v>10</v>
      </c>
      <c r="C291" s="91">
        <f>(Gradesheet!B319)</f>
        <v>0</v>
      </c>
      <c r="D291" s="92">
        <f>IF(Outline!$C$14&gt;0,Gradesheet!AD319,Gradesheet!AK319)</f>
        <v>0</v>
      </c>
      <c r="E291" s="145">
        <f>IF(Outline!$C$14&gt;0,Gradesheet!L319,Gradesheet!AR319)</f>
        <v>0</v>
      </c>
      <c r="F291" s="145">
        <f>IF(Outline!$C$14&gt;0,Gradesheet!AZ319,"NA")</f>
        <v>0</v>
      </c>
      <c r="G291" s="145">
        <f>IF(Outline!$C$14&gt;0,Gradesheet!U289,Gradesheet!AY289)</f>
        <v>0</v>
      </c>
      <c r="H291" s="146">
        <f t="shared" si="5"/>
        <v>0</v>
      </c>
    </row>
    <row r="292" spans="2:8" hidden="1" x14ac:dyDescent="0.25">
      <c r="B292" s="90">
        <f>Gradesheet!A320</f>
        <v>11</v>
      </c>
      <c r="C292" s="91">
        <f>(Gradesheet!B320)</f>
        <v>0</v>
      </c>
      <c r="D292" s="92">
        <f>IF(Outline!$C$14&gt;0,Gradesheet!AD320,Gradesheet!AK320)</f>
        <v>0</v>
      </c>
      <c r="E292" s="145">
        <f>IF(Outline!$C$14&gt;0,Gradesheet!L320,Gradesheet!AR320)</f>
        <v>0</v>
      </c>
      <c r="F292" s="145">
        <f>IF(Outline!$C$14&gt;0,Gradesheet!AZ320,"NA")</f>
        <v>0</v>
      </c>
      <c r="G292" s="145">
        <f>IF(Outline!$C$14&gt;0,Gradesheet!U290,Gradesheet!AY290)</f>
        <v>0</v>
      </c>
      <c r="H292" s="146">
        <f t="shared" si="5"/>
        <v>0</v>
      </c>
    </row>
    <row r="293" spans="2:8" hidden="1" x14ac:dyDescent="0.25">
      <c r="B293" s="90">
        <f>Gradesheet!A321</f>
        <v>12</v>
      </c>
      <c r="C293" s="91">
        <f>(Gradesheet!B321)</f>
        <v>0</v>
      </c>
      <c r="D293" s="92">
        <f>IF(Outline!$C$14&gt;0,Gradesheet!AD321,Gradesheet!AK321)</f>
        <v>0</v>
      </c>
      <c r="E293" s="145">
        <f>IF(Outline!$C$14&gt;0,Gradesheet!L321,Gradesheet!AR321)</f>
        <v>0</v>
      </c>
      <c r="F293" s="145">
        <f>IF(Outline!$C$14&gt;0,Gradesheet!AZ321,"NA")</f>
        <v>0</v>
      </c>
      <c r="G293" s="145">
        <f>IF(Outline!$C$14&gt;0,Gradesheet!U291,Gradesheet!AY291)</f>
        <v>0</v>
      </c>
      <c r="H293" s="146">
        <f t="shared" si="5"/>
        <v>0</v>
      </c>
    </row>
    <row r="294" spans="2:8" hidden="1" x14ac:dyDescent="0.25">
      <c r="B294" s="90">
        <f>Gradesheet!A322</f>
        <v>13</v>
      </c>
      <c r="C294" s="91">
        <f>(Gradesheet!B322)</f>
        <v>0</v>
      </c>
      <c r="D294" s="92">
        <f>IF(Outline!$C$14&gt;0,Gradesheet!AD322,Gradesheet!AK322)</f>
        <v>0</v>
      </c>
      <c r="E294" s="145">
        <f>IF(Outline!$C$14&gt;0,Gradesheet!L322,Gradesheet!AR322)</f>
        <v>0</v>
      </c>
      <c r="F294" s="145">
        <f>IF(Outline!$C$14&gt;0,Gradesheet!AZ322,"NA")</f>
        <v>0</v>
      </c>
      <c r="G294" s="145">
        <f>IF(Outline!$C$14&gt;0,Gradesheet!U292,Gradesheet!AY292)</f>
        <v>0</v>
      </c>
      <c r="H294" s="146">
        <f t="shared" si="5"/>
        <v>0</v>
      </c>
    </row>
    <row r="295" spans="2:8" hidden="1" x14ac:dyDescent="0.25">
      <c r="B295" s="90">
        <f>Gradesheet!A323</f>
        <v>14</v>
      </c>
      <c r="C295" s="91">
        <f>(Gradesheet!B323)</f>
        <v>0</v>
      </c>
      <c r="D295" s="92">
        <f>IF(Outline!$C$14&gt;0,Gradesheet!AD323,Gradesheet!AK323)</f>
        <v>0</v>
      </c>
      <c r="E295" s="145">
        <f>IF(Outline!$C$14&gt;0,Gradesheet!L323,Gradesheet!AR323)</f>
        <v>0</v>
      </c>
      <c r="F295" s="145">
        <f>IF(Outline!$C$14&gt;0,Gradesheet!AZ323,"NA")</f>
        <v>0</v>
      </c>
      <c r="G295" s="145">
        <f>IF(Outline!$C$14&gt;0,Gradesheet!U293,Gradesheet!AY293)</f>
        <v>0</v>
      </c>
      <c r="H295" s="146">
        <f t="shared" si="5"/>
        <v>0</v>
      </c>
    </row>
    <row r="296" spans="2:8" hidden="1" x14ac:dyDescent="0.25">
      <c r="B296" s="90">
        <f>Gradesheet!A324</f>
        <v>15</v>
      </c>
      <c r="C296" s="91">
        <f>(Gradesheet!B324)</f>
        <v>0</v>
      </c>
      <c r="D296" s="92">
        <f>IF(Outline!$C$14&gt;0,Gradesheet!AD324,Gradesheet!AK324)</f>
        <v>0</v>
      </c>
      <c r="E296" s="145">
        <f>IF(Outline!$C$14&gt;0,Gradesheet!L324,Gradesheet!AR324)</f>
        <v>0</v>
      </c>
      <c r="F296" s="145">
        <f>IF(Outline!$C$14&gt;0,Gradesheet!AZ324,"NA")</f>
        <v>0</v>
      </c>
      <c r="G296" s="145">
        <f>IF(Outline!$C$14&gt;0,Gradesheet!U294,Gradesheet!AY294)</f>
        <v>0</v>
      </c>
      <c r="H296" s="146">
        <f t="shared" si="5"/>
        <v>0</v>
      </c>
    </row>
    <row r="297" spans="2:8" hidden="1" x14ac:dyDescent="0.25">
      <c r="B297" s="90">
        <f>Gradesheet!A325</f>
        <v>16</v>
      </c>
      <c r="C297" s="91">
        <f>(Gradesheet!B325)</f>
        <v>0</v>
      </c>
      <c r="D297" s="92">
        <f>IF(Outline!$C$14&gt;0,Gradesheet!AD325,Gradesheet!AK325)</f>
        <v>0</v>
      </c>
      <c r="E297" s="145">
        <f>IF(Outline!$C$14&gt;0,Gradesheet!L325,Gradesheet!AR325)</f>
        <v>0</v>
      </c>
      <c r="F297" s="145">
        <f>IF(Outline!$C$14&gt;0,Gradesheet!AZ325,"NA")</f>
        <v>0</v>
      </c>
      <c r="G297" s="145">
        <f>IF(Outline!$C$14&gt;0,Gradesheet!U295,Gradesheet!AY295)</f>
        <v>0</v>
      </c>
      <c r="H297" s="146">
        <f t="shared" si="5"/>
        <v>0</v>
      </c>
    </row>
    <row r="298" spans="2:8" hidden="1" x14ac:dyDescent="0.25">
      <c r="B298" s="90">
        <f>Gradesheet!A326</f>
        <v>17</v>
      </c>
      <c r="C298" s="91">
        <f>(Gradesheet!B326)</f>
        <v>0</v>
      </c>
      <c r="D298" s="92">
        <f>IF(Outline!$C$14&gt;0,Gradesheet!AD326,Gradesheet!AK326)</f>
        <v>0</v>
      </c>
      <c r="E298" s="145">
        <f>IF(Outline!$C$14&gt;0,Gradesheet!L326,Gradesheet!AR326)</f>
        <v>0</v>
      </c>
      <c r="F298" s="145">
        <f>IF(Outline!$C$14&gt;0,Gradesheet!AZ326,"NA")</f>
        <v>0</v>
      </c>
      <c r="G298" s="145">
        <f>IF(Outline!$C$14&gt;0,Gradesheet!U296,Gradesheet!AY296)</f>
        <v>0</v>
      </c>
      <c r="H298" s="146">
        <f t="shared" si="5"/>
        <v>0</v>
      </c>
    </row>
    <row r="299" spans="2:8" hidden="1" x14ac:dyDescent="0.25">
      <c r="B299" s="90">
        <f>Gradesheet!A327</f>
        <v>18</v>
      </c>
      <c r="C299" s="91">
        <f>(Gradesheet!B327)</f>
        <v>0</v>
      </c>
      <c r="D299" s="92">
        <f>IF(Outline!$C$14&gt;0,Gradesheet!AD327,Gradesheet!AK327)</f>
        <v>0</v>
      </c>
      <c r="E299" s="145">
        <f>IF(Outline!$C$14&gt;0,Gradesheet!L327,Gradesheet!AR327)</f>
        <v>0</v>
      </c>
      <c r="F299" s="145">
        <f>IF(Outline!$C$14&gt;0,Gradesheet!AZ327,"NA")</f>
        <v>0</v>
      </c>
      <c r="G299" s="145">
        <f>IF(Outline!$C$14&gt;0,Gradesheet!U297,Gradesheet!AY297)</f>
        <v>0</v>
      </c>
      <c r="H299" s="146">
        <f t="shared" si="5"/>
        <v>0</v>
      </c>
    </row>
    <row r="300" spans="2:8" hidden="1" x14ac:dyDescent="0.25">
      <c r="B300" s="90">
        <f>Gradesheet!A328</f>
        <v>19</v>
      </c>
      <c r="C300" s="91">
        <f>(Gradesheet!B328)</f>
        <v>0</v>
      </c>
      <c r="D300" s="92">
        <f>IF(Outline!$C$14&gt;0,Gradesheet!AD328,Gradesheet!AK328)</f>
        <v>0</v>
      </c>
      <c r="E300" s="145">
        <f>IF(Outline!$C$14&gt;0,Gradesheet!L328,Gradesheet!AR328)</f>
        <v>0</v>
      </c>
      <c r="F300" s="145">
        <f>IF(Outline!$C$14&gt;0,Gradesheet!AZ328,"NA")</f>
        <v>0</v>
      </c>
      <c r="G300" s="145">
        <f>IF(Outline!$C$14&gt;0,Gradesheet!U298,Gradesheet!AY298)</f>
        <v>0</v>
      </c>
      <c r="H300" s="146">
        <f t="shared" si="5"/>
        <v>0</v>
      </c>
    </row>
    <row r="301" spans="2:8" hidden="1" x14ac:dyDescent="0.25">
      <c r="B301" s="90">
        <f>Gradesheet!A329</f>
        <v>20</v>
      </c>
      <c r="C301" s="91">
        <f>(Gradesheet!B329)</f>
        <v>0</v>
      </c>
      <c r="D301" s="92">
        <f>IF(Outline!$C$14&gt;0,Gradesheet!AD329,Gradesheet!AK329)</f>
        <v>0</v>
      </c>
      <c r="E301" s="145">
        <f>IF(Outline!$C$14&gt;0,Gradesheet!L329,Gradesheet!AR329)</f>
        <v>0</v>
      </c>
      <c r="F301" s="145">
        <f>IF(Outline!$C$14&gt;0,Gradesheet!AZ329,"NA")</f>
        <v>0</v>
      </c>
      <c r="G301" s="145">
        <f>IF(Outline!$C$14&gt;0,Gradesheet!U299,Gradesheet!AY299)</f>
        <v>0</v>
      </c>
      <c r="H301" s="146">
        <f t="shared" si="5"/>
        <v>0</v>
      </c>
    </row>
    <row r="302" spans="2:8" hidden="1" x14ac:dyDescent="0.25">
      <c r="B302" s="90">
        <f>Gradesheet!A330</f>
        <v>21</v>
      </c>
      <c r="C302" s="91">
        <f>(Gradesheet!B330)</f>
        <v>0</v>
      </c>
      <c r="D302" s="92">
        <f>IF(Outline!$C$14&gt;0,Gradesheet!AD330,Gradesheet!AK330)</f>
        <v>0</v>
      </c>
      <c r="E302" s="145">
        <f>IF(Outline!$C$14&gt;0,Gradesheet!L330,Gradesheet!AR330)</f>
        <v>0</v>
      </c>
      <c r="F302" s="145">
        <f>IF(Outline!$C$14&gt;0,Gradesheet!AZ330,"NA")</f>
        <v>0</v>
      </c>
      <c r="G302" s="145">
        <f>IF(Outline!$C$14&gt;0,Gradesheet!U300,Gradesheet!AY300)</f>
        <v>0</v>
      </c>
      <c r="H302" s="146">
        <f t="shared" si="5"/>
        <v>0</v>
      </c>
    </row>
    <row r="303" spans="2:8" hidden="1" x14ac:dyDescent="0.25">
      <c r="B303" s="90">
        <f>Gradesheet!A331</f>
        <v>22</v>
      </c>
      <c r="C303" s="91">
        <f>(Gradesheet!B331)</f>
        <v>0</v>
      </c>
      <c r="D303" s="92">
        <f>IF(Outline!$C$14&gt;0,Gradesheet!AD331,Gradesheet!AK331)</f>
        <v>0</v>
      </c>
      <c r="E303" s="145">
        <f>IF(Outline!$C$14&gt;0,Gradesheet!L331,Gradesheet!AR331)</f>
        <v>0</v>
      </c>
      <c r="F303" s="145">
        <f>IF(Outline!$C$14&gt;0,Gradesheet!AZ331,"NA")</f>
        <v>0</v>
      </c>
      <c r="G303" s="145">
        <f>IF(Outline!$C$14&gt;0,Gradesheet!U301,Gradesheet!AY301)</f>
        <v>0</v>
      </c>
      <c r="H303" s="146">
        <f t="shared" si="5"/>
        <v>0</v>
      </c>
    </row>
    <row r="304" spans="2:8" hidden="1" x14ac:dyDescent="0.25">
      <c r="B304" s="90">
        <f>Gradesheet!A332</f>
        <v>23</v>
      </c>
      <c r="C304" s="91">
        <f>(Gradesheet!B332)</f>
        <v>0</v>
      </c>
      <c r="D304" s="92">
        <f>IF(Outline!$C$14&gt;0,Gradesheet!AD332,Gradesheet!AK332)</f>
        <v>0</v>
      </c>
      <c r="E304" s="145">
        <f>IF(Outline!$C$14&gt;0,Gradesheet!L332,Gradesheet!AR332)</f>
        <v>0</v>
      </c>
      <c r="F304" s="145">
        <f>IF(Outline!$C$14&gt;0,Gradesheet!AZ332,"NA")</f>
        <v>0</v>
      </c>
      <c r="G304" s="145">
        <f>IF(Outline!$C$14&gt;0,Gradesheet!U302,Gradesheet!AY302)</f>
        <v>0</v>
      </c>
      <c r="H304" s="146">
        <f t="shared" si="5"/>
        <v>0</v>
      </c>
    </row>
    <row r="305" spans="2:8" hidden="1" x14ac:dyDescent="0.25">
      <c r="B305" s="90">
        <f>Gradesheet!A333</f>
        <v>24</v>
      </c>
      <c r="C305" s="91">
        <f>(Gradesheet!B333)</f>
        <v>0</v>
      </c>
      <c r="D305" s="92">
        <f>IF(Outline!$C$14&gt;0,Gradesheet!AD333,Gradesheet!AK333)</f>
        <v>0</v>
      </c>
      <c r="E305" s="145">
        <f>IF(Outline!$C$14&gt;0,Gradesheet!L333,Gradesheet!AR333)</f>
        <v>0</v>
      </c>
      <c r="F305" s="145">
        <f>IF(Outline!$C$14&gt;0,Gradesheet!AZ333,"NA")</f>
        <v>0</v>
      </c>
      <c r="G305" s="145">
        <f>IF(Outline!$C$14&gt;0,Gradesheet!U303,Gradesheet!AY303)</f>
        <v>0</v>
      </c>
      <c r="H305" s="146">
        <f t="shared" si="5"/>
        <v>0</v>
      </c>
    </row>
    <row r="306" spans="2:8" hidden="1" x14ac:dyDescent="0.25">
      <c r="B306" s="90">
        <f>Gradesheet!A334</f>
        <v>25</v>
      </c>
      <c r="C306" s="91">
        <f>(Gradesheet!B334)</f>
        <v>0</v>
      </c>
      <c r="D306" s="92">
        <f>IF(Outline!$C$14&gt;0,Gradesheet!AD334,Gradesheet!AK334)</f>
        <v>0</v>
      </c>
      <c r="E306" s="145">
        <f>IF(Outline!$C$14&gt;0,Gradesheet!L334,Gradesheet!AR334)</f>
        <v>0</v>
      </c>
      <c r="F306" s="145">
        <f>IF(Outline!$C$14&gt;0,Gradesheet!AZ334,"NA")</f>
        <v>0</v>
      </c>
      <c r="G306" s="145">
        <f>IF(Outline!$C$14&gt;0,Gradesheet!U304,Gradesheet!AY304)</f>
        <v>0</v>
      </c>
      <c r="H306" s="146">
        <f t="shared" si="5"/>
        <v>0</v>
      </c>
    </row>
    <row r="307" spans="2:8" hidden="1" x14ac:dyDescent="0.25">
      <c r="B307" s="90">
        <f>Gradesheet!A335</f>
        <v>26</v>
      </c>
      <c r="C307" s="91">
        <f>(Gradesheet!B335)</f>
        <v>0</v>
      </c>
      <c r="D307" s="92">
        <f>IF(Outline!$C$14&gt;0,Gradesheet!AD335,Gradesheet!AK335)</f>
        <v>0</v>
      </c>
      <c r="E307" s="145">
        <f>IF(Outline!$C$14&gt;0,Gradesheet!L335,Gradesheet!AR335)</f>
        <v>0</v>
      </c>
      <c r="F307" s="145">
        <f>IF(Outline!$C$14&gt;0,Gradesheet!AZ335,"NA")</f>
        <v>0</v>
      </c>
      <c r="G307" s="145">
        <f>IF(Outline!$C$14&gt;0,Gradesheet!U305,Gradesheet!AY305)</f>
        <v>0</v>
      </c>
      <c r="H307" s="146">
        <f t="shared" si="5"/>
        <v>0</v>
      </c>
    </row>
    <row r="308" spans="2:8" hidden="1" x14ac:dyDescent="0.25">
      <c r="B308" s="90">
        <f>Gradesheet!A336</f>
        <v>27</v>
      </c>
      <c r="C308" s="91">
        <f>(Gradesheet!B336)</f>
        <v>0</v>
      </c>
      <c r="D308" s="92">
        <f>IF(Outline!$C$14&gt;0,Gradesheet!AD336,Gradesheet!AK336)</f>
        <v>0</v>
      </c>
      <c r="E308" s="145">
        <f>IF(Outline!$C$14&gt;0,Gradesheet!L336,Gradesheet!AR336)</f>
        <v>0</v>
      </c>
      <c r="F308" s="145">
        <f>IF(Outline!$C$14&gt;0,Gradesheet!AZ336,"NA")</f>
        <v>0</v>
      </c>
      <c r="G308" s="145">
        <f>IF(Outline!$C$14&gt;0,Gradesheet!U306,Gradesheet!AY306)</f>
        <v>0</v>
      </c>
      <c r="H308" s="146">
        <f t="shared" si="5"/>
        <v>0</v>
      </c>
    </row>
    <row r="309" spans="2:8" hidden="1" x14ac:dyDescent="0.25">
      <c r="B309" s="90">
        <f>Gradesheet!A337</f>
        <v>28</v>
      </c>
      <c r="C309" s="91">
        <f>(Gradesheet!B337)</f>
        <v>0</v>
      </c>
      <c r="D309" s="92">
        <f>IF(Outline!$C$14&gt;0,Gradesheet!AD337,Gradesheet!AK337)</f>
        <v>0</v>
      </c>
      <c r="E309" s="145">
        <f>IF(Outline!$C$14&gt;0,Gradesheet!L337,Gradesheet!AR337)</f>
        <v>0</v>
      </c>
      <c r="F309" s="145">
        <f>IF(Outline!$C$14&gt;0,Gradesheet!AZ337,"NA")</f>
        <v>0</v>
      </c>
      <c r="G309" s="145">
        <f>IF(Outline!$C$14&gt;0,Gradesheet!U307,Gradesheet!AY307)</f>
        <v>0</v>
      </c>
      <c r="H309" s="146">
        <f t="shared" si="5"/>
        <v>0</v>
      </c>
    </row>
    <row r="310" spans="2:8" hidden="1" x14ac:dyDescent="0.25">
      <c r="B310" s="90">
        <f>Gradesheet!A338</f>
        <v>29</v>
      </c>
      <c r="C310" s="91">
        <f>(Gradesheet!B338)</f>
        <v>0</v>
      </c>
      <c r="D310" s="92">
        <f>IF(Outline!$C$14&gt;0,Gradesheet!AD338,Gradesheet!AK338)</f>
        <v>0</v>
      </c>
      <c r="E310" s="145">
        <f>IF(Outline!$C$14&gt;0,Gradesheet!L338,Gradesheet!AR338)</f>
        <v>0</v>
      </c>
      <c r="F310" s="145">
        <f>IF(Outline!$C$14&gt;0,Gradesheet!AZ338,"NA")</f>
        <v>0</v>
      </c>
      <c r="G310" s="145">
        <f>IF(Outline!$C$14&gt;0,Gradesheet!U308,Gradesheet!AY308)</f>
        <v>0</v>
      </c>
      <c r="H310" s="146">
        <f t="shared" si="5"/>
        <v>0</v>
      </c>
    </row>
    <row r="311" spans="2:8" hidden="1" x14ac:dyDescent="0.25">
      <c r="B311" s="90">
        <f>Gradesheet!A339</f>
        <v>30</v>
      </c>
      <c r="C311" s="91">
        <f>(Gradesheet!B339)</f>
        <v>0</v>
      </c>
      <c r="D311" s="92">
        <f>IF(Outline!$C$14&gt;0,Gradesheet!AD339,Gradesheet!AK339)</f>
        <v>0</v>
      </c>
      <c r="E311" s="145">
        <f>IF(Outline!$C$14&gt;0,Gradesheet!L339,Gradesheet!AR339)</f>
        <v>0</v>
      </c>
      <c r="F311" s="145">
        <f>IF(Outline!$C$14&gt;0,Gradesheet!AZ339,"NA")</f>
        <v>0</v>
      </c>
      <c r="G311" s="145">
        <f>IF(Outline!$C$14&gt;0,Gradesheet!U309,Gradesheet!AY309)</f>
        <v>0</v>
      </c>
      <c r="H311" s="146">
        <f t="shared" si="5"/>
        <v>0</v>
      </c>
    </row>
    <row r="312" spans="2:8" hidden="1" x14ac:dyDescent="0.25">
      <c r="B312" s="90">
        <f>Gradesheet!A340</f>
        <v>31</v>
      </c>
      <c r="C312" s="91">
        <f>(Gradesheet!B340)</f>
        <v>0</v>
      </c>
      <c r="D312" s="92">
        <f>IF(Outline!$C$14&gt;0,Gradesheet!AD340,Gradesheet!AK340)</f>
        <v>0</v>
      </c>
      <c r="E312" s="145">
        <f>IF(Outline!$C$14&gt;0,Gradesheet!L340,Gradesheet!AR340)</f>
        <v>0</v>
      </c>
      <c r="F312" s="145">
        <f>IF(Outline!$C$14&gt;0,Gradesheet!AZ340,"NA")</f>
        <v>0</v>
      </c>
      <c r="G312" s="145">
        <f>IF(Outline!$C$14&gt;0,Gradesheet!U310,Gradesheet!AY310)</f>
        <v>0</v>
      </c>
      <c r="H312" s="146">
        <f t="shared" si="5"/>
        <v>0</v>
      </c>
    </row>
    <row r="313" spans="2:8" hidden="1" x14ac:dyDescent="0.25">
      <c r="B313" s="90">
        <f>Gradesheet!A341</f>
        <v>32</v>
      </c>
      <c r="C313" s="91">
        <f>(Gradesheet!B341)</f>
        <v>0</v>
      </c>
      <c r="D313" s="92">
        <f>IF(Outline!$C$14&gt;0,Gradesheet!AD341,Gradesheet!AK341)</f>
        <v>0</v>
      </c>
      <c r="E313" s="145">
        <f>IF(Outline!$C$14&gt;0,Gradesheet!L341,Gradesheet!AR341)</f>
        <v>0</v>
      </c>
      <c r="F313" s="145">
        <f>IF(Outline!$C$14&gt;0,Gradesheet!AZ341,"NA")</f>
        <v>0</v>
      </c>
      <c r="G313" s="145">
        <f>IF(Outline!$C$14&gt;0,Gradesheet!U311,Gradesheet!AY311)</f>
        <v>0</v>
      </c>
      <c r="H313" s="146">
        <f t="shared" si="5"/>
        <v>0</v>
      </c>
    </row>
    <row r="314" spans="2:8" hidden="1" x14ac:dyDescent="0.25">
      <c r="B314" s="90">
        <f>Gradesheet!A342</f>
        <v>33</v>
      </c>
      <c r="C314" s="91">
        <f>(Gradesheet!B342)</f>
        <v>0</v>
      </c>
      <c r="D314" s="92">
        <f>IF(Outline!$C$14&gt;0,Gradesheet!AD342,Gradesheet!AK342)</f>
        <v>0</v>
      </c>
      <c r="E314" s="145">
        <f>IF(Outline!$C$14&gt;0,Gradesheet!L342,Gradesheet!AR342)</f>
        <v>0</v>
      </c>
      <c r="F314" s="145">
        <f>IF(Outline!$C$14&gt;0,Gradesheet!AZ342,"NA")</f>
        <v>0</v>
      </c>
      <c r="G314" s="145">
        <f>IF(Outline!$C$14&gt;0,Gradesheet!U312,Gradesheet!AY312)</f>
        <v>0</v>
      </c>
      <c r="H314" s="146">
        <f t="shared" si="5"/>
        <v>0</v>
      </c>
    </row>
    <row r="315" spans="2:8" hidden="1" x14ac:dyDescent="0.25">
      <c r="B315" s="90">
        <f>Gradesheet!A343</f>
        <v>34</v>
      </c>
      <c r="C315" s="91">
        <f>(Gradesheet!B343)</f>
        <v>0</v>
      </c>
      <c r="D315" s="92">
        <f>IF(Outline!$C$14&gt;0,Gradesheet!AD343,Gradesheet!AK343)</f>
        <v>0</v>
      </c>
      <c r="E315" s="145">
        <f>IF(Outline!$C$14&gt;0,Gradesheet!L343,Gradesheet!AR343)</f>
        <v>0</v>
      </c>
      <c r="F315" s="145">
        <f>IF(Outline!$C$14&gt;0,Gradesheet!AZ343,"NA")</f>
        <v>0</v>
      </c>
      <c r="G315" s="145">
        <f>IF(Outline!$C$14&gt;0,Gradesheet!U313,Gradesheet!AY313)</f>
        <v>0</v>
      </c>
      <c r="H315" s="146">
        <f t="shared" si="5"/>
        <v>0</v>
      </c>
    </row>
    <row r="316" spans="2:8" hidden="1" x14ac:dyDescent="0.25">
      <c r="B316" s="90">
        <f>Gradesheet!A344</f>
        <v>35</v>
      </c>
      <c r="C316" s="91">
        <f>(Gradesheet!B344)</f>
        <v>0</v>
      </c>
      <c r="D316" s="92">
        <f>IF(Outline!$C$14&gt;0,Gradesheet!AD344,Gradesheet!AK344)</f>
        <v>0</v>
      </c>
      <c r="E316" s="145">
        <f>IF(Outline!$C$14&gt;0,Gradesheet!L344,Gradesheet!AR344)</f>
        <v>0</v>
      </c>
      <c r="F316" s="145">
        <f>IF(Outline!$C$14&gt;0,Gradesheet!AZ344,"NA")</f>
        <v>0</v>
      </c>
      <c r="G316" s="145">
        <f>IF(Outline!$C$14&gt;0,Gradesheet!U314,Gradesheet!AY314)</f>
        <v>0</v>
      </c>
      <c r="H316" s="146">
        <f t="shared" si="5"/>
        <v>0</v>
      </c>
    </row>
    <row r="317" spans="2:8" hidden="1" x14ac:dyDescent="0.25">
      <c r="B317" s="90">
        <f>Gradesheet!A345</f>
        <v>36</v>
      </c>
      <c r="C317" s="91">
        <f>(Gradesheet!B345)</f>
        <v>0</v>
      </c>
      <c r="D317" s="92">
        <f>IF(Outline!$C$14&gt;0,Gradesheet!AD345,Gradesheet!AK345)</f>
        <v>0</v>
      </c>
      <c r="E317" s="145">
        <f>IF(Outline!$C$14&gt;0,Gradesheet!L345,Gradesheet!AR345)</f>
        <v>0</v>
      </c>
      <c r="F317" s="145">
        <f>IF(Outline!$C$14&gt;0,Gradesheet!AZ345,"NA")</f>
        <v>0</v>
      </c>
      <c r="G317" s="145">
        <f>IF(Outline!$C$14&gt;0,Gradesheet!U315,Gradesheet!AY315)</f>
        <v>0</v>
      </c>
      <c r="H317" s="146">
        <f t="shared" si="5"/>
        <v>0</v>
      </c>
    </row>
    <row r="318" spans="2:8" hidden="1" x14ac:dyDescent="0.25">
      <c r="B318" s="90">
        <f>Gradesheet!A346</f>
        <v>37</v>
      </c>
      <c r="C318" s="91">
        <f>(Gradesheet!B346)</f>
        <v>0</v>
      </c>
      <c r="D318" s="92">
        <f>IF(Outline!$C$14&gt;0,Gradesheet!AD346,Gradesheet!AK346)</f>
        <v>0</v>
      </c>
      <c r="E318" s="145">
        <f>IF(Outline!$C$14&gt;0,Gradesheet!L346,Gradesheet!AR346)</f>
        <v>0</v>
      </c>
      <c r="F318" s="145">
        <f>IF(Outline!$C$14&gt;0,Gradesheet!AZ346,"NA")</f>
        <v>0</v>
      </c>
      <c r="G318" s="145">
        <f>IF(Outline!$C$14&gt;0,Gradesheet!U316,Gradesheet!AY316)</f>
        <v>0</v>
      </c>
      <c r="H318" s="146">
        <f t="shared" si="5"/>
        <v>0</v>
      </c>
    </row>
    <row r="319" spans="2:8" hidden="1" x14ac:dyDescent="0.25">
      <c r="B319" s="90">
        <f>Gradesheet!A347</f>
        <v>38</v>
      </c>
      <c r="C319" s="91">
        <f>(Gradesheet!B347)</f>
        <v>0</v>
      </c>
      <c r="D319" s="92">
        <f>IF(Outline!$C$14&gt;0,Gradesheet!AD347,Gradesheet!AK347)</f>
        <v>0</v>
      </c>
      <c r="E319" s="145">
        <f>IF(Outline!$C$14&gt;0,Gradesheet!L347,Gradesheet!AR347)</f>
        <v>0</v>
      </c>
      <c r="F319" s="145">
        <f>IF(Outline!$C$14&gt;0,Gradesheet!AZ347,"NA")</f>
        <v>0</v>
      </c>
      <c r="G319" s="145">
        <f>IF(Outline!$C$14&gt;0,Gradesheet!U317,Gradesheet!AY317)</f>
        <v>0</v>
      </c>
      <c r="H319" s="146">
        <f t="shared" si="5"/>
        <v>0</v>
      </c>
    </row>
    <row r="320" spans="2:8" hidden="1" x14ac:dyDescent="0.25">
      <c r="B320" s="90">
        <f>Gradesheet!A348</f>
        <v>39</v>
      </c>
      <c r="C320" s="91">
        <f>(Gradesheet!B348)</f>
        <v>0</v>
      </c>
      <c r="D320" s="92">
        <f>IF(Outline!$C$14&gt;0,Gradesheet!AD348,Gradesheet!AK348)</f>
        <v>0</v>
      </c>
      <c r="E320" s="145">
        <f>IF(Outline!$C$14&gt;0,Gradesheet!L348,Gradesheet!AR348)</f>
        <v>0</v>
      </c>
      <c r="F320" s="145">
        <f>IF(Outline!$C$14&gt;0,Gradesheet!AZ348,"NA")</f>
        <v>0</v>
      </c>
      <c r="G320" s="145">
        <f>IF(Outline!$C$14&gt;0,Gradesheet!U318,Gradesheet!AY318)</f>
        <v>0</v>
      </c>
      <c r="H320" s="146">
        <f t="shared" si="5"/>
        <v>0</v>
      </c>
    </row>
    <row r="321" spans="2:8" hidden="1" x14ac:dyDescent="0.25">
      <c r="B321" s="90">
        <f>Gradesheet!A349</f>
        <v>40</v>
      </c>
      <c r="C321" s="91">
        <f>(Gradesheet!B349)</f>
        <v>0</v>
      </c>
      <c r="D321" s="92">
        <f>IF(Outline!$C$14&gt;0,Gradesheet!AD349,Gradesheet!AK349)</f>
        <v>0</v>
      </c>
      <c r="E321" s="145">
        <f>IF(Outline!$C$14&gt;0,Gradesheet!L349,Gradesheet!AR349)</f>
        <v>0</v>
      </c>
      <c r="F321" s="145">
        <f>IF(Outline!$C$14&gt;0,Gradesheet!AZ349,"NA")</f>
        <v>0</v>
      </c>
      <c r="G321" s="145">
        <f>IF(Outline!$C$14&gt;0,Gradesheet!U319,Gradesheet!AY319)</f>
        <v>0</v>
      </c>
      <c r="H321" s="146">
        <f t="shared" si="5"/>
        <v>0</v>
      </c>
    </row>
    <row r="322" spans="2:8" hidden="1" x14ac:dyDescent="0.25">
      <c r="B322" s="90">
        <f>Gradesheet!A350</f>
        <v>41</v>
      </c>
      <c r="C322" s="91">
        <f>(Gradesheet!B350)</f>
        <v>0</v>
      </c>
      <c r="D322" s="92">
        <f>IF(Outline!$C$14&gt;0,Gradesheet!AD350,Gradesheet!AK350)</f>
        <v>0</v>
      </c>
      <c r="E322" s="145">
        <f>IF(Outline!$C$14&gt;0,Gradesheet!L350,Gradesheet!AR350)</f>
        <v>0</v>
      </c>
      <c r="F322" s="145">
        <f>IF(Outline!$C$14&gt;0,Gradesheet!AZ350,"NA")</f>
        <v>0</v>
      </c>
      <c r="G322" s="145">
        <f>IF(Outline!$C$14&gt;0,Gradesheet!U320,Gradesheet!AY320)</f>
        <v>0</v>
      </c>
      <c r="H322" s="146">
        <f t="shared" si="5"/>
        <v>0</v>
      </c>
    </row>
    <row r="323" spans="2:8" hidden="1" x14ac:dyDescent="0.25">
      <c r="B323" s="90">
        <f>Gradesheet!A351</f>
        <v>42</v>
      </c>
      <c r="C323" s="91">
        <f>(Gradesheet!B351)</f>
        <v>0</v>
      </c>
      <c r="D323" s="92">
        <f>IF(Outline!$C$14&gt;0,Gradesheet!AD351,Gradesheet!AK351)</f>
        <v>0</v>
      </c>
      <c r="E323" s="145">
        <f>IF(Outline!$C$14&gt;0,Gradesheet!L351,Gradesheet!AR351)</f>
        <v>0</v>
      </c>
      <c r="F323" s="145">
        <f>IF(Outline!$C$14&gt;0,Gradesheet!AZ351,"NA")</f>
        <v>0</v>
      </c>
      <c r="G323" s="145">
        <f>IF(Outline!$C$14&gt;0,Gradesheet!U321,Gradesheet!AY321)</f>
        <v>0</v>
      </c>
      <c r="H323" s="146">
        <f t="shared" si="5"/>
        <v>0</v>
      </c>
    </row>
    <row r="324" spans="2:8" hidden="1" x14ac:dyDescent="0.25">
      <c r="B324" s="90">
        <f>Gradesheet!A352</f>
        <v>0</v>
      </c>
      <c r="C324" s="91">
        <f>(Gradesheet!B352)</f>
        <v>0</v>
      </c>
      <c r="D324" s="92">
        <f>IF(Outline!$C$14&gt;0,Gradesheet!AD352,Gradesheet!AK352)</f>
        <v>0</v>
      </c>
      <c r="E324" s="145">
        <f>IF(Outline!$C$14&gt;0,Gradesheet!L352,Gradesheet!AR352)</f>
        <v>0</v>
      </c>
      <c r="F324" s="145">
        <f>IF(Outline!$C$14&gt;0,Gradesheet!AZ352,"NA")</f>
        <v>0</v>
      </c>
      <c r="G324" s="145">
        <f>IF(Outline!$C$14&gt;0,Gradesheet!U322,Gradesheet!AY322)</f>
        <v>0</v>
      </c>
      <c r="H324" s="146">
        <f t="shared" si="5"/>
        <v>0</v>
      </c>
    </row>
    <row r="325" spans="2:8" hidden="1" x14ac:dyDescent="0.25">
      <c r="B325" s="90">
        <f>Gradesheet!A353</f>
        <v>1</v>
      </c>
      <c r="C325" s="91">
        <f>(Gradesheet!B353)</f>
        <v>0</v>
      </c>
      <c r="D325" s="92">
        <f>IF(Outline!$C$14&gt;0,Gradesheet!AD353,Gradesheet!AK353)</f>
        <v>0</v>
      </c>
      <c r="E325" s="145">
        <f>IF(Outline!$C$14&gt;0,Gradesheet!L353,Gradesheet!AR353)</f>
        <v>0</v>
      </c>
      <c r="F325" s="145">
        <f>IF(Outline!$C$14&gt;0,Gradesheet!AZ353,"NA")</f>
        <v>0</v>
      </c>
      <c r="G325" s="145">
        <f>IF(Outline!$C$14&gt;0,Gradesheet!U323,Gradesheet!AY323)</f>
        <v>0</v>
      </c>
      <c r="H325" s="146">
        <f t="shared" si="5"/>
        <v>0</v>
      </c>
    </row>
    <row r="326" spans="2:8" hidden="1" x14ac:dyDescent="0.25">
      <c r="B326" s="90">
        <f>Gradesheet!A354</f>
        <v>2</v>
      </c>
      <c r="C326" s="91">
        <f>(Gradesheet!B354)</f>
        <v>0</v>
      </c>
      <c r="D326" s="92">
        <f>IF(Outline!$C$14&gt;0,Gradesheet!AD354,Gradesheet!AK354)</f>
        <v>0</v>
      </c>
      <c r="E326" s="145">
        <f>IF(Outline!$C$14&gt;0,Gradesheet!L354,Gradesheet!AR354)</f>
        <v>0</v>
      </c>
      <c r="F326" s="145">
        <f>IF(Outline!$C$14&gt;0,Gradesheet!AZ354,"NA")</f>
        <v>0</v>
      </c>
      <c r="G326" s="145">
        <f>IF(Outline!$C$14&gt;0,Gradesheet!U324,Gradesheet!AY324)</f>
        <v>0</v>
      </c>
      <c r="H326" s="146">
        <f t="shared" si="5"/>
        <v>0</v>
      </c>
    </row>
    <row r="327" spans="2:8" hidden="1" x14ac:dyDescent="0.25">
      <c r="B327" s="90">
        <f>Gradesheet!A355</f>
        <v>3</v>
      </c>
      <c r="C327" s="91">
        <f>(Gradesheet!B355)</f>
        <v>0</v>
      </c>
      <c r="D327" s="92">
        <f>IF(Outline!$C$14&gt;0,Gradesheet!AD355,Gradesheet!AK355)</f>
        <v>0</v>
      </c>
      <c r="E327" s="145">
        <f>IF(Outline!$C$14&gt;0,Gradesheet!L355,Gradesheet!AR355)</f>
        <v>0</v>
      </c>
      <c r="F327" s="145">
        <f>IF(Outline!$C$14&gt;0,Gradesheet!AZ355,"NA")</f>
        <v>0</v>
      </c>
      <c r="G327" s="145">
        <f>IF(Outline!$C$14&gt;0,Gradesheet!U325,Gradesheet!AY325)</f>
        <v>0</v>
      </c>
      <c r="H327" s="146">
        <f t="shared" ref="H327:H390" si="6">SUM(D327:G327)</f>
        <v>0</v>
      </c>
    </row>
    <row r="328" spans="2:8" hidden="1" x14ac:dyDescent="0.25">
      <c r="B328" s="90">
        <f>Gradesheet!A356</f>
        <v>4</v>
      </c>
      <c r="C328" s="91">
        <f>(Gradesheet!B356)</f>
        <v>0</v>
      </c>
      <c r="D328" s="92">
        <f>IF(Outline!$C$14&gt;0,Gradesheet!AD356,Gradesheet!AK356)</f>
        <v>0</v>
      </c>
      <c r="E328" s="145">
        <f>IF(Outline!$C$14&gt;0,Gradesheet!L356,Gradesheet!AR356)</f>
        <v>0</v>
      </c>
      <c r="F328" s="145">
        <f>IF(Outline!$C$14&gt;0,Gradesheet!AZ356,"NA")</f>
        <v>0</v>
      </c>
      <c r="G328" s="145">
        <f>IF(Outline!$C$14&gt;0,Gradesheet!U326,Gradesheet!AY326)</f>
        <v>0</v>
      </c>
      <c r="H328" s="146">
        <f t="shared" si="6"/>
        <v>0</v>
      </c>
    </row>
    <row r="329" spans="2:8" hidden="1" x14ac:dyDescent="0.25">
      <c r="B329" s="90">
        <f>Gradesheet!A357</f>
        <v>5</v>
      </c>
      <c r="C329" s="91">
        <f>(Gradesheet!B357)</f>
        <v>0</v>
      </c>
      <c r="D329" s="92">
        <f>IF(Outline!$C$14&gt;0,Gradesheet!AD357,Gradesheet!AK357)</f>
        <v>0</v>
      </c>
      <c r="E329" s="145">
        <f>IF(Outline!$C$14&gt;0,Gradesheet!L357,Gradesheet!AR357)</f>
        <v>0</v>
      </c>
      <c r="F329" s="145">
        <f>IF(Outline!$C$14&gt;0,Gradesheet!AZ357,"NA")</f>
        <v>0</v>
      </c>
      <c r="G329" s="145">
        <f>IF(Outline!$C$14&gt;0,Gradesheet!U327,Gradesheet!AY327)</f>
        <v>0</v>
      </c>
      <c r="H329" s="146">
        <f t="shared" si="6"/>
        <v>0</v>
      </c>
    </row>
    <row r="330" spans="2:8" hidden="1" x14ac:dyDescent="0.25">
      <c r="B330" s="90">
        <f>Gradesheet!A358</f>
        <v>6</v>
      </c>
      <c r="C330" s="91">
        <f>(Gradesheet!B358)</f>
        <v>0</v>
      </c>
      <c r="D330" s="92">
        <f>IF(Outline!$C$14&gt;0,Gradesheet!AD358,Gradesheet!AK358)</f>
        <v>0</v>
      </c>
      <c r="E330" s="145">
        <f>IF(Outline!$C$14&gt;0,Gradesheet!L358,Gradesheet!AR358)</f>
        <v>0</v>
      </c>
      <c r="F330" s="145">
        <f>IF(Outline!$C$14&gt;0,Gradesheet!AZ358,"NA")</f>
        <v>0</v>
      </c>
      <c r="G330" s="145">
        <f>IF(Outline!$C$14&gt;0,Gradesheet!U328,Gradesheet!AY328)</f>
        <v>0</v>
      </c>
      <c r="H330" s="146">
        <f t="shared" si="6"/>
        <v>0</v>
      </c>
    </row>
    <row r="331" spans="2:8" hidden="1" x14ac:dyDescent="0.25">
      <c r="B331" s="90">
        <f>Gradesheet!A359</f>
        <v>7</v>
      </c>
      <c r="C331" s="91">
        <f>(Gradesheet!B359)</f>
        <v>0</v>
      </c>
      <c r="D331" s="92">
        <f>IF(Outline!$C$14&gt;0,Gradesheet!AD359,Gradesheet!AK359)</f>
        <v>0</v>
      </c>
      <c r="E331" s="145">
        <f>IF(Outline!$C$14&gt;0,Gradesheet!L359,Gradesheet!AR359)</f>
        <v>0</v>
      </c>
      <c r="F331" s="145">
        <f>IF(Outline!$C$14&gt;0,Gradesheet!AZ359,"NA")</f>
        <v>0</v>
      </c>
      <c r="G331" s="145">
        <f>IF(Outline!$C$14&gt;0,Gradesheet!U329,Gradesheet!AY329)</f>
        <v>0</v>
      </c>
      <c r="H331" s="146">
        <f t="shared" si="6"/>
        <v>0</v>
      </c>
    </row>
    <row r="332" spans="2:8" hidden="1" x14ac:dyDescent="0.25">
      <c r="B332" s="90">
        <f>Gradesheet!A360</f>
        <v>8</v>
      </c>
      <c r="C332" s="91">
        <f>(Gradesheet!B360)</f>
        <v>0</v>
      </c>
      <c r="D332" s="92">
        <f>IF(Outline!$C$14&gt;0,Gradesheet!AD360,Gradesheet!AK360)</f>
        <v>0</v>
      </c>
      <c r="E332" s="145">
        <f>IF(Outline!$C$14&gt;0,Gradesheet!L360,Gradesheet!AR360)</f>
        <v>0</v>
      </c>
      <c r="F332" s="145">
        <f>IF(Outline!$C$14&gt;0,Gradesheet!AZ360,"NA")</f>
        <v>0</v>
      </c>
      <c r="G332" s="145">
        <f>IF(Outline!$C$14&gt;0,Gradesheet!U330,Gradesheet!AY330)</f>
        <v>0</v>
      </c>
      <c r="H332" s="146">
        <f t="shared" si="6"/>
        <v>0</v>
      </c>
    </row>
    <row r="333" spans="2:8" hidden="1" x14ac:dyDescent="0.25">
      <c r="B333" s="90">
        <f>Gradesheet!A361</f>
        <v>9</v>
      </c>
      <c r="C333" s="91">
        <f>(Gradesheet!B361)</f>
        <v>0</v>
      </c>
      <c r="D333" s="92">
        <f>IF(Outline!$C$14&gt;0,Gradesheet!AD361,Gradesheet!AK361)</f>
        <v>0</v>
      </c>
      <c r="E333" s="145">
        <f>IF(Outline!$C$14&gt;0,Gradesheet!L361,Gradesheet!AR361)</f>
        <v>0</v>
      </c>
      <c r="F333" s="145">
        <f>IF(Outline!$C$14&gt;0,Gradesheet!AZ361,"NA")</f>
        <v>0</v>
      </c>
      <c r="G333" s="145">
        <f>IF(Outline!$C$14&gt;0,Gradesheet!U331,Gradesheet!AY331)</f>
        <v>0</v>
      </c>
      <c r="H333" s="146">
        <f t="shared" si="6"/>
        <v>0</v>
      </c>
    </row>
    <row r="334" spans="2:8" hidden="1" x14ac:dyDescent="0.25">
      <c r="B334" s="90">
        <f>Gradesheet!A362</f>
        <v>10</v>
      </c>
      <c r="C334" s="91">
        <f>(Gradesheet!B362)</f>
        <v>0</v>
      </c>
      <c r="D334" s="92">
        <f>IF(Outline!$C$14&gt;0,Gradesheet!AD362,Gradesheet!AK362)</f>
        <v>0</v>
      </c>
      <c r="E334" s="145">
        <f>IF(Outline!$C$14&gt;0,Gradesheet!L362,Gradesheet!AR362)</f>
        <v>0</v>
      </c>
      <c r="F334" s="145">
        <f>IF(Outline!$C$14&gt;0,Gradesheet!AZ362,"NA")</f>
        <v>0</v>
      </c>
      <c r="G334" s="145">
        <f>IF(Outline!$C$14&gt;0,Gradesheet!U332,Gradesheet!AY332)</f>
        <v>0</v>
      </c>
      <c r="H334" s="146">
        <f t="shared" si="6"/>
        <v>0</v>
      </c>
    </row>
    <row r="335" spans="2:8" hidden="1" x14ac:dyDescent="0.25">
      <c r="B335" s="90">
        <f>Gradesheet!A363</f>
        <v>11</v>
      </c>
      <c r="C335" s="91">
        <f>(Gradesheet!B363)</f>
        <v>0</v>
      </c>
      <c r="D335" s="92">
        <f>IF(Outline!$C$14&gt;0,Gradesheet!AD363,Gradesheet!AK363)</f>
        <v>0</v>
      </c>
      <c r="E335" s="145">
        <f>IF(Outline!$C$14&gt;0,Gradesheet!L363,Gradesheet!AR363)</f>
        <v>0</v>
      </c>
      <c r="F335" s="145">
        <f>IF(Outline!$C$14&gt;0,Gradesheet!AZ363,"NA")</f>
        <v>0</v>
      </c>
      <c r="G335" s="145">
        <f>IF(Outline!$C$14&gt;0,Gradesheet!U333,Gradesheet!AY333)</f>
        <v>0</v>
      </c>
      <c r="H335" s="146">
        <f t="shared" si="6"/>
        <v>0</v>
      </c>
    </row>
    <row r="336" spans="2:8" hidden="1" x14ac:dyDescent="0.25">
      <c r="B336" s="90">
        <f>Gradesheet!A364</f>
        <v>12</v>
      </c>
      <c r="C336" s="91">
        <f>(Gradesheet!B364)</f>
        <v>0</v>
      </c>
      <c r="D336" s="92">
        <f>IF(Outline!$C$14&gt;0,Gradesheet!AD364,Gradesheet!AK364)</f>
        <v>0</v>
      </c>
      <c r="E336" s="145">
        <f>IF(Outline!$C$14&gt;0,Gradesheet!L364,Gradesheet!AR364)</f>
        <v>0</v>
      </c>
      <c r="F336" s="145">
        <f>IF(Outline!$C$14&gt;0,Gradesheet!AZ364,"NA")</f>
        <v>0</v>
      </c>
      <c r="G336" s="145">
        <f>IF(Outline!$C$14&gt;0,Gradesheet!U334,Gradesheet!AY334)</f>
        <v>0</v>
      </c>
      <c r="H336" s="146">
        <f t="shared" si="6"/>
        <v>0</v>
      </c>
    </row>
    <row r="337" spans="2:8" hidden="1" x14ac:dyDescent="0.25">
      <c r="B337" s="90">
        <f>Gradesheet!A365</f>
        <v>13</v>
      </c>
      <c r="C337" s="91">
        <f>(Gradesheet!B365)</f>
        <v>0</v>
      </c>
      <c r="D337" s="92">
        <f>IF(Outline!$C$14&gt;0,Gradesheet!AD365,Gradesheet!AK365)</f>
        <v>0</v>
      </c>
      <c r="E337" s="145">
        <f>IF(Outline!$C$14&gt;0,Gradesheet!L365,Gradesheet!AR365)</f>
        <v>0</v>
      </c>
      <c r="F337" s="145">
        <f>IF(Outline!$C$14&gt;0,Gradesheet!AZ365,"NA")</f>
        <v>0</v>
      </c>
      <c r="G337" s="145">
        <f>IF(Outline!$C$14&gt;0,Gradesheet!U335,Gradesheet!AY335)</f>
        <v>0</v>
      </c>
      <c r="H337" s="146">
        <f t="shared" si="6"/>
        <v>0</v>
      </c>
    </row>
    <row r="338" spans="2:8" hidden="1" x14ac:dyDescent="0.25">
      <c r="B338" s="90">
        <f>Gradesheet!A366</f>
        <v>14</v>
      </c>
      <c r="C338" s="91">
        <f>(Gradesheet!B366)</f>
        <v>0</v>
      </c>
      <c r="D338" s="92">
        <f>IF(Outline!$C$14&gt;0,Gradesheet!AD366,Gradesheet!AK366)</f>
        <v>0</v>
      </c>
      <c r="E338" s="145">
        <f>IF(Outline!$C$14&gt;0,Gradesheet!L366,Gradesheet!AR366)</f>
        <v>0</v>
      </c>
      <c r="F338" s="145">
        <f>IF(Outline!$C$14&gt;0,Gradesheet!AZ366,"NA")</f>
        <v>0</v>
      </c>
      <c r="G338" s="145">
        <f>IF(Outline!$C$14&gt;0,Gradesheet!U336,Gradesheet!AY336)</f>
        <v>0</v>
      </c>
      <c r="H338" s="146">
        <f t="shared" si="6"/>
        <v>0</v>
      </c>
    </row>
    <row r="339" spans="2:8" hidden="1" x14ac:dyDescent="0.25">
      <c r="B339" s="90">
        <f>Gradesheet!A367</f>
        <v>15</v>
      </c>
      <c r="C339" s="91">
        <f>(Gradesheet!B367)</f>
        <v>0</v>
      </c>
      <c r="D339" s="92">
        <f>IF(Outline!$C$14&gt;0,Gradesheet!AD367,Gradesheet!AK367)</f>
        <v>0</v>
      </c>
      <c r="E339" s="145">
        <f>IF(Outline!$C$14&gt;0,Gradesheet!L367,Gradesheet!AR367)</f>
        <v>0</v>
      </c>
      <c r="F339" s="145">
        <f>IF(Outline!$C$14&gt;0,Gradesheet!AZ367,"NA")</f>
        <v>0</v>
      </c>
      <c r="G339" s="145">
        <f>IF(Outline!$C$14&gt;0,Gradesheet!U337,Gradesheet!AY337)</f>
        <v>0</v>
      </c>
      <c r="H339" s="146">
        <f t="shared" si="6"/>
        <v>0</v>
      </c>
    </row>
    <row r="340" spans="2:8" hidden="1" x14ac:dyDescent="0.25">
      <c r="B340" s="90">
        <f>Gradesheet!A368</f>
        <v>16</v>
      </c>
      <c r="C340" s="91">
        <f>(Gradesheet!B368)</f>
        <v>0</v>
      </c>
      <c r="D340" s="92">
        <f>IF(Outline!$C$14&gt;0,Gradesheet!AD368,Gradesheet!AK368)</f>
        <v>0</v>
      </c>
      <c r="E340" s="145">
        <f>IF(Outline!$C$14&gt;0,Gradesheet!L368,Gradesheet!AR368)</f>
        <v>0</v>
      </c>
      <c r="F340" s="145">
        <f>IF(Outline!$C$14&gt;0,Gradesheet!AZ368,"NA")</f>
        <v>0</v>
      </c>
      <c r="G340" s="145">
        <f>IF(Outline!$C$14&gt;0,Gradesheet!U338,Gradesheet!AY338)</f>
        <v>0</v>
      </c>
      <c r="H340" s="146">
        <f t="shared" si="6"/>
        <v>0</v>
      </c>
    </row>
    <row r="341" spans="2:8" hidden="1" x14ac:dyDescent="0.25">
      <c r="B341" s="90">
        <f>Gradesheet!A369</f>
        <v>17</v>
      </c>
      <c r="C341" s="91">
        <f>(Gradesheet!B369)</f>
        <v>0</v>
      </c>
      <c r="D341" s="92">
        <f>IF(Outline!$C$14&gt;0,Gradesheet!AD369,Gradesheet!AK369)</f>
        <v>0</v>
      </c>
      <c r="E341" s="145">
        <f>IF(Outline!$C$14&gt;0,Gradesheet!L369,Gradesheet!AR369)</f>
        <v>0</v>
      </c>
      <c r="F341" s="145">
        <f>IF(Outline!$C$14&gt;0,Gradesheet!AZ369,"NA")</f>
        <v>0</v>
      </c>
      <c r="G341" s="145">
        <f>IF(Outline!$C$14&gt;0,Gradesheet!U339,Gradesheet!AY339)</f>
        <v>0</v>
      </c>
      <c r="H341" s="146">
        <f t="shared" si="6"/>
        <v>0</v>
      </c>
    </row>
    <row r="342" spans="2:8" hidden="1" x14ac:dyDescent="0.25">
      <c r="B342" s="90">
        <f>Gradesheet!A370</f>
        <v>18</v>
      </c>
      <c r="C342" s="91">
        <f>(Gradesheet!B370)</f>
        <v>0</v>
      </c>
      <c r="D342" s="92">
        <f>IF(Outline!$C$14&gt;0,Gradesheet!AD370,Gradesheet!AK370)</f>
        <v>0</v>
      </c>
      <c r="E342" s="145">
        <f>IF(Outline!$C$14&gt;0,Gradesheet!L370,Gradesheet!AR370)</f>
        <v>0</v>
      </c>
      <c r="F342" s="145">
        <f>IF(Outline!$C$14&gt;0,Gradesheet!AZ370,"NA")</f>
        <v>0</v>
      </c>
      <c r="G342" s="145">
        <f>IF(Outline!$C$14&gt;0,Gradesheet!U340,Gradesheet!AY340)</f>
        <v>0</v>
      </c>
      <c r="H342" s="146">
        <f t="shared" si="6"/>
        <v>0</v>
      </c>
    </row>
    <row r="343" spans="2:8" hidden="1" x14ac:dyDescent="0.25">
      <c r="B343" s="90">
        <f>Gradesheet!A371</f>
        <v>19</v>
      </c>
      <c r="C343" s="91">
        <f>(Gradesheet!B371)</f>
        <v>0</v>
      </c>
      <c r="D343" s="92">
        <f>IF(Outline!$C$14&gt;0,Gradesheet!AD371,Gradesheet!AK371)</f>
        <v>0</v>
      </c>
      <c r="E343" s="145">
        <f>IF(Outline!$C$14&gt;0,Gradesheet!L371,Gradesheet!AR371)</f>
        <v>0</v>
      </c>
      <c r="F343" s="145">
        <f>IF(Outline!$C$14&gt;0,Gradesheet!AZ371,"NA")</f>
        <v>0</v>
      </c>
      <c r="G343" s="145">
        <f>IF(Outline!$C$14&gt;0,Gradesheet!U341,Gradesheet!AY341)</f>
        <v>0</v>
      </c>
      <c r="H343" s="146">
        <f t="shared" si="6"/>
        <v>0</v>
      </c>
    </row>
    <row r="344" spans="2:8" hidden="1" x14ac:dyDescent="0.25">
      <c r="B344" s="90">
        <f>Gradesheet!A372</f>
        <v>20</v>
      </c>
      <c r="C344" s="91">
        <f>(Gradesheet!B372)</f>
        <v>0</v>
      </c>
      <c r="D344" s="92">
        <f>IF(Outline!$C$14&gt;0,Gradesheet!AD372,Gradesheet!AK372)</f>
        <v>0</v>
      </c>
      <c r="E344" s="145">
        <f>IF(Outline!$C$14&gt;0,Gradesheet!L372,Gradesheet!AR372)</f>
        <v>0</v>
      </c>
      <c r="F344" s="145">
        <f>IF(Outline!$C$14&gt;0,Gradesheet!AZ372,"NA")</f>
        <v>0</v>
      </c>
      <c r="G344" s="145">
        <f>IF(Outline!$C$14&gt;0,Gradesheet!U342,Gradesheet!AY342)</f>
        <v>0</v>
      </c>
      <c r="H344" s="146">
        <f t="shared" si="6"/>
        <v>0</v>
      </c>
    </row>
    <row r="345" spans="2:8" hidden="1" x14ac:dyDescent="0.25">
      <c r="B345" s="90">
        <f>Gradesheet!A373</f>
        <v>21</v>
      </c>
      <c r="C345" s="91">
        <f>(Gradesheet!B373)</f>
        <v>0</v>
      </c>
      <c r="D345" s="92">
        <f>IF(Outline!$C$14&gt;0,Gradesheet!AD373,Gradesheet!AK373)</f>
        <v>0</v>
      </c>
      <c r="E345" s="145">
        <f>IF(Outline!$C$14&gt;0,Gradesheet!L373,Gradesheet!AR373)</f>
        <v>0</v>
      </c>
      <c r="F345" s="145">
        <f>IF(Outline!$C$14&gt;0,Gradesheet!AZ373,"NA")</f>
        <v>0</v>
      </c>
      <c r="G345" s="145">
        <f>IF(Outline!$C$14&gt;0,Gradesheet!U343,Gradesheet!AY343)</f>
        <v>0</v>
      </c>
      <c r="H345" s="146">
        <f t="shared" si="6"/>
        <v>0</v>
      </c>
    </row>
    <row r="346" spans="2:8" hidden="1" x14ac:dyDescent="0.25">
      <c r="B346" s="90">
        <f>Gradesheet!A374</f>
        <v>22</v>
      </c>
      <c r="C346" s="91">
        <f>(Gradesheet!B374)</f>
        <v>0</v>
      </c>
      <c r="D346" s="92">
        <f>IF(Outline!$C$14&gt;0,Gradesheet!AD374,Gradesheet!AK374)</f>
        <v>0</v>
      </c>
      <c r="E346" s="145">
        <f>IF(Outline!$C$14&gt;0,Gradesheet!L374,Gradesheet!AR374)</f>
        <v>0</v>
      </c>
      <c r="F346" s="145">
        <f>IF(Outline!$C$14&gt;0,Gradesheet!AZ374,"NA")</f>
        <v>0</v>
      </c>
      <c r="G346" s="145">
        <f>IF(Outline!$C$14&gt;0,Gradesheet!U344,Gradesheet!AY344)</f>
        <v>0</v>
      </c>
      <c r="H346" s="146">
        <f t="shared" si="6"/>
        <v>0</v>
      </c>
    </row>
    <row r="347" spans="2:8" hidden="1" x14ac:dyDescent="0.25">
      <c r="B347" s="90">
        <f>Gradesheet!A375</f>
        <v>23</v>
      </c>
      <c r="C347" s="91">
        <f>(Gradesheet!B375)</f>
        <v>0</v>
      </c>
      <c r="D347" s="92">
        <f>IF(Outline!$C$14&gt;0,Gradesheet!AD375,Gradesheet!AK375)</f>
        <v>0</v>
      </c>
      <c r="E347" s="145">
        <f>IF(Outline!$C$14&gt;0,Gradesheet!L375,Gradesheet!AR375)</f>
        <v>0</v>
      </c>
      <c r="F347" s="145">
        <f>IF(Outline!$C$14&gt;0,Gradesheet!AZ375,"NA")</f>
        <v>0</v>
      </c>
      <c r="G347" s="145">
        <f>IF(Outline!$C$14&gt;0,Gradesheet!U345,Gradesheet!AY345)</f>
        <v>0</v>
      </c>
      <c r="H347" s="146">
        <f t="shared" si="6"/>
        <v>0</v>
      </c>
    </row>
    <row r="348" spans="2:8" hidden="1" x14ac:dyDescent="0.25">
      <c r="B348" s="90">
        <f>Gradesheet!A376</f>
        <v>24</v>
      </c>
      <c r="C348" s="91">
        <f>(Gradesheet!B376)</f>
        <v>0</v>
      </c>
      <c r="D348" s="92">
        <f>IF(Outline!$C$14&gt;0,Gradesheet!AD376,Gradesheet!AK376)</f>
        <v>0</v>
      </c>
      <c r="E348" s="145">
        <f>IF(Outline!$C$14&gt;0,Gradesheet!L376,Gradesheet!AR376)</f>
        <v>0</v>
      </c>
      <c r="F348" s="145">
        <f>IF(Outline!$C$14&gt;0,Gradesheet!AZ376,"NA")</f>
        <v>0</v>
      </c>
      <c r="G348" s="145">
        <f>IF(Outline!$C$14&gt;0,Gradesheet!U346,Gradesheet!AY346)</f>
        <v>0</v>
      </c>
      <c r="H348" s="146">
        <f t="shared" si="6"/>
        <v>0</v>
      </c>
    </row>
    <row r="349" spans="2:8" hidden="1" x14ac:dyDescent="0.25">
      <c r="B349" s="90">
        <f>Gradesheet!A377</f>
        <v>25</v>
      </c>
      <c r="C349" s="91">
        <f>(Gradesheet!B377)</f>
        <v>0</v>
      </c>
      <c r="D349" s="92">
        <f>IF(Outline!$C$14&gt;0,Gradesheet!AD377,Gradesheet!AK377)</f>
        <v>0</v>
      </c>
      <c r="E349" s="145">
        <f>IF(Outline!$C$14&gt;0,Gradesheet!L377,Gradesheet!AR377)</f>
        <v>0</v>
      </c>
      <c r="F349" s="145">
        <f>IF(Outline!$C$14&gt;0,Gradesheet!AZ377,"NA")</f>
        <v>0</v>
      </c>
      <c r="G349" s="145">
        <f>IF(Outline!$C$14&gt;0,Gradesheet!U347,Gradesheet!AY347)</f>
        <v>0</v>
      </c>
      <c r="H349" s="146">
        <f t="shared" si="6"/>
        <v>0</v>
      </c>
    </row>
    <row r="350" spans="2:8" hidden="1" x14ac:dyDescent="0.25">
      <c r="B350" s="90">
        <f>Gradesheet!A378</f>
        <v>26</v>
      </c>
      <c r="C350" s="91">
        <f>(Gradesheet!B378)</f>
        <v>0</v>
      </c>
      <c r="D350" s="92">
        <f>IF(Outline!$C$14&gt;0,Gradesheet!AD378,Gradesheet!AK378)</f>
        <v>0</v>
      </c>
      <c r="E350" s="145">
        <f>IF(Outline!$C$14&gt;0,Gradesheet!L378,Gradesheet!AR378)</f>
        <v>0</v>
      </c>
      <c r="F350" s="145">
        <f>IF(Outline!$C$14&gt;0,Gradesheet!AZ378,"NA")</f>
        <v>0</v>
      </c>
      <c r="G350" s="145">
        <f>IF(Outline!$C$14&gt;0,Gradesheet!U348,Gradesheet!AY348)</f>
        <v>0</v>
      </c>
      <c r="H350" s="146">
        <f t="shared" si="6"/>
        <v>0</v>
      </c>
    </row>
    <row r="351" spans="2:8" hidden="1" x14ac:dyDescent="0.25">
      <c r="B351" s="90">
        <f>Gradesheet!A379</f>
        <v>27</v>
      </c>
      <c r="C351" s="91">
        <f>(Gradesheet!B379)</f>
        <v>0</v>
      </c>
      <c r="D351" s="92">
        <f>IF(Outline!$C$14&gt;0,Gradesheet!AD379,Gradesheet!AK379)</f>
        <v>0</v>
      </c>
      <c r="E351" s="145">
        <f>IF(Outline!$C$14&gt;0,Gradesheet!L379,Gradesheet!AR379)</f>
        <v>0</v>
      </c>
      <c r="F351" s="145">
        <f>IF(Outline!$C$14&gt;0,Gradesheet!AZ379,"NA")</f>
        <v>0</v>
      </c>
      <c r="G351" s="145">
        <f>IF(Outline!$C$14&gt;0,Gradesheet!U349,Gradesheet!AY349)</f>
        <v>0</v>
      </c>
      <c r="H351" s="146">
        <f t="shared" si="6"/>
        <v>0</v>
      </c>
    </row>
    <row r="352" spans="2:8" hidden="1" x14ac:dyDescent="0.25">
      <c r="B352" s="90">
        <f>Gradesheet!A380</f>
        <v>28</v>
      </c>
      <c r="C352" s="91">
        <f>(Gradesheet!B380)</f>
        <v>0</v>
      </c>
      <c r="D352" s="92">
        <f>IF(Outline!$C$14&gt;0,Gradesheet!AD380,Gradesheet!AK380)</f>
        <v>0</v>
      </c>
      <c r="E352" s="145">
        <f>IF(Outline!$C$14&gt;0,Gradesheet!L380,Gradesheet!AR380)</f>
        <v>0</v>
      </c>
      <c r="F352" s="145">
        <f>IF(Outline!$C$14&gt;0,Gradesheet!AZ380,"NA")</f>
        <v>0</v>
      </c>
      <c r="G352" s="145">
        <f>IF(Outline!$C$14&gt;0,Gradesheet!U350,Gradesheet!AY350)</f>
        <v>0</v>
      </c>
      <c r="H352" s="146">
        <f t="shared" si="6"/>
        <v>0</v>
      </c>
    </row>
    <row r="353" spans="2:8" hidden="1" x14ac:dyDescent="0.25">
      <c r="B353" s="90">
        <f>Gradesheet!A381</f>
        <v>29</v>
      </c>
      <c r="C353" s="91">
        <f>(Gradesheet!B381)</f>
        <v>0</v>
      </c>
      <c r="D353" s="92">
        <f>IF(Outline!$C$14&gt;0,Gradesheet!AD381,Gradesheet!AK381)</f>
        <v>0</v>
      </c>
      <c r="E353" s="145">
        <f>IF(Outline!$C$14&gt;0,Gradesheet!L381,Gradesheet!AR381)</f>
        <v>0</v>
      </c>
      <c r="F353" s="145">
        <f>IF(Outline!$C$14&gt;0,Gradesheet!AZ381,"NA")</f>
        <v>0</v>
      </c>
      <c r="G353" s="145">
        <f>IF(Outline!$C$14&gt;0,Gradesheet!U351,Gradesheet!AY351)</f>
        <v>0</v>
      </c>
      <c r="H353" s="146">
        <f t="shared" si="6"/>
        <v>0</v>
      </c>
    </row>
    <row r="354" spans="2:8" hidden="1" x14ac:dyDescent="0.25">
      <c r="B354" s="90">
        <f>Gradesheet!A382</f>
        <v>30</v>
      </c>
      <c r="C354" s="91">
        <f>(Gradesheet!B382)</f>
        <v>0</v>
      </c>
      <c r="D354" s="92">
        <f>IF(Outline!$C$14&gt;0,Gradesheet!AD382,Gradesheet!AK382)</f>
        <v>0</v>
      </c>
      <c r="E354" s="145">
        <f>IF(Outline!$C$14&gt;0,Gradesheet!L382,Gradesheet!AR382)</f>
        <v>0</v>
      </c>
      <c r="F354" s="145">
        <f>IF(Outline!$C$14&gt;0,Gradesheet!AZ382,"NA")</f>
        <v>0</v>
      </c>
      <c r="G354" s="145">
        <f>IF(Outline!$C$14&gt;0,Gradesheet!U352,Gradesheet!AY352)</f>
        <v>0</v>
      </c>
      <c r="H354" s="146">
        <f t="shared" si="6"/>
        <v>0</v>
      </c>
    </row>
    <row r="355" spans="2:8" hidden="1" x14ac:dyDescent="0.25">
      <c r="B355" s="90">
        <f>Gradesheet!A383</f>
        <v>31</v>
      </c>
      <c r="C355" s="91">
        <f>(Gradesheet!B383)</f>
        <v>0</v>
      </c>
      <c r="D355" s="92">
        <f>IF(Outline!$C$14&gt;0,Gradesheet!AD383,Gradesheet!AK383)</f>
        <v>0</v>
      </c>
      <c r="E355" s="145">
        <f>IF(Outline!$C$14&gt;0,Gradesheet!L383,Gradesheet!AR383)</f>
        <v>0</v>
      </c>
      <c r="F355" s="145">
        <f>IF(Outline!$C$14&gt;0,Gradesheet!AZ383,"NA")</f>
        <v>0</v>
      </c>
      <c r="G355" s="145">
        <f>IF(Outline!$C$14&gt;0,Gradesheet!U353,Gradesheet!AY353)</f>
        <v>0</v>
      </c>
      <c r="H355" s="146">
        <f t="shared" si="6"/>
        <v>0</v>
      </c>
    </row>
    <row r="356" spans="2:8" hidden="1" x14ac:dyDescent="0.25">
      <c r="B356" s="90">
        <f>Gradesheet!A384</f>
        <v>32</v>
      </c>
      <c r="C356" s="91">
        <f>(Gradesheet!B384)</f>
        <v>0</v>
      </c>
      <c r="D356" s="92">
        <f>IF(Outline!$C$14&gt;0,Gradesheet!AD384,Gradesheet!AK384)</f>
        <v>0</v>
      </c>
      <c r="E356" s="145">
        <f>IF(Outline!$C$14&gt;0,Gradesheet!L384,Gradesheet!AR384)</f>
        <v>0</v>
      </c>
      <c r="F356" s="145">
        <f>IF(Outline!$C$14&gt;0,Gradesheet!AZ384,"NA")</f>
        <v>0</v>
      </c>
      <c r="G356" s="145">
        <f>IF(Outline!$C$14&gt;0,Gradesheet!U354,Gradesheet!AY354)</f>
        <v>0</v>
      </c>
      <c r="H356" s="146">
        <f t="shared" si="6"/>
        <v>0</v>
      </c>
    </row>
    <row r="357" spans="2:8" hidden="1" x14ac:dyDescent="0.25">
      <c r="B357" s="90">
        <f>Gradesheet!A385</f>
        <v>33</v>
      </c>
      <c r="C357" s="91">
        <f>(Gradesheet!B385)</f>
        <v>0</v>
      </c>
      <c r="D357" s="92">
        <f>IF(Outline!$C$14&gt;0,Gradesheet!AD385,Gradesheet!AK385)</f>
        <v>0</v>
      </c>
      <c r="E357" s="145">
        <f>IF(Outline!$C$14&gt;0,Gradesheet!L385,Gradesheet!AR385)</f>
        <v>0</v>
      </c>
      <c r="F357" s="145">
        <f>IF(Outline!$C$14&gt;0,Gradesheet!AZ385,"NA")</f>
        <v>0</v>
      </c>
      <c r="G357" s="145">
        <f>IF(Outline!$C$14&gt;0,Gradesheet!U355,Gradesheet!AY355)</f>
        <v>0</v>
      </c>
      <c r="H357" s="146">
        <f t="shared" si="6"/>
        <v>0</v>
      </c>
    </row>
    <row r="358" spans="2:8" hidden="1" x14ac:dyDescent="0.25">
      <c r="B358" s="90">
        <f>Gradesheet!A386</f>
        <v>34</v>
      </c>
      <c r="C358" s="91">
        <f>(Gradesheet!B386)</f>
        <v>0</v>
      </c>
      <c r="D358" s="92">
        <f>IF(Outline!$C$14&gt;0,Gradesheet!AD386,Gradesheet!AK386)</f>
        <v>0</v>
      </c>
      <c r="E358" s="145">
        <f>IF(Outline!$C$14&gt;0,Gradesheet!L386,Gradesheet!AR386)</f>
        <v>0</v>
      </c>
      <c r="F358" s="145">
        <f>IF(Outline!$C$14&gt;0,Gradesheet!AZ386,"NA")</f>
        <v>0</v>
      </c>
      <c r="G358" s="145">
        <f>IF(Outline!$C$14&gt;0,Gradesheet!U356,Gradesheet!AY356)</f>
        <v>0</v>
      </c>
      <c r="H358" s="146">
        <f t="shared" si="6"/>
        <v>0</v>
      </c>
    </row>
    <row r="359" spans="2:8" hidden="1" x14ac:dyDescent="0.25">
      <c r="B359" s="90">
        <f>Gradesheet!A387</f>
        <v>35</v>
      </c>
      <c r="C359" s="91">
        <f>(Gradesheet!B387)</f>
        <v>0</v>
      </c>
      <c r="D359" s="92">
        <f>IF(Outline!$C$14&gt;0,Gradesheet!AD387,Gradesheet!AK387)</f>
        <v>0</v>
      </c>
      <c r="E359" s="145">
        <f>IF(Outline!$C$14&gt;0,Gradesheet!L387,Gradesheet!AR387)</f>
        <v>0</v>
      </c>
      <c r="F359" s="145">
        <f>IF(Outline!$C$14&gt;0,Gradesheet!AZ387,"NA")</f>
        <v>0</v>
      </c>
      <c r="G359" s="145">
        <f>IF(Outline!$C$14&gt;0,Gradesheet!U357,Gradesheet!AY357)</f>
        <v>0</v>
      </c>
      <c r="H359" s="146">
        <f t="shared" si="6"/>
        <v>0</v>
      </c>
    </row>
    <row r="360" spans="2:8" hidden="1" x14ac:dyDescent="0.25">
      <c r="B360" s="90">
        <f>Gradesheet!A388</f>
        <v>36</v>
      </c>
      <c r="C360" s="91">
        <f>(Gradesheet!B388)</f>
        <v>0</v>
      </c>
      <c r="D360" s="92">
        <f>IF(Outline!$C$14&gt;0,Gradesheet!AD388,Gradesheet!AK388)</f>
        <v>0</v>
      </c>
      <c r="E360" s="145">
        <f>IF(Outline!$C$14&gt;0,Gradesheet!L388,Gradesheet!AR388)</f>
        <v>0</v>
      </c>
      <c r="F360" s="145">
        <f>IF(Outline!$C$14&gt;0,Gradesheet!AZ388,"NA")</f>
        <v>0</v>
      </c>
      <c r="G360" s="145">
        <f>IF(Outline!$C$14&gt;0,Gradesheet!U358,Gradesheet!AY358)</f>
        <v>0</v>
      </c>
      <c r="H360" s="146">
        <f t="shared" si="6"/>
        <v>0</v>
      </c>
    </row>
    <row r="361" spans="2:8" hidden="1" x14ac:dyDescent="0.25">
      <c r="B361" s="90">
        <f>Gradesheet!A389</f>
        <v>37</v>
      </c>
      <c r="C361" s="91">
        <f>(Gradesheet!B389)</f>
        <v>0</v>
      </c>
      <c r="D361" s="92">
        <f>IF(Outline!$C$14&gt;0,Gradesheet!AD389,Gradesheet!AK389)</f>
        <v>0</v>
      </c>
      <c r="E361" s="145">
        <f>IF(Outline!$C$14&gt;0,Gradesheet!L389,Gradesheet!AR389)</f>
        <v>0</v>
      </c>
      <c r="F361" s="145">
        <f>IF(Outline!$C$14&gt;0,Gradesheet!AZ389,"NA")</f>
        <v>0</v>
      </c>
      <c r="G361" s="145">
        <f>IF(Outline!$C$14&gt;0,Gradesheet!U359,Gradesheet!AY359)</f>
        <v>0</v>
      </c>
      <c r="H361" s="146">
        <f t="shared" si="6"/>
        <v>0</v>
      </c>
    </row>
    <row r="362" spans="2:8" hidden="1" x14ac:dyDescent="0.25">
      <c r="B362" s="90">
        <f>Gradesheet!A390</f>
        <v>38</v>
      </c>
      <c r="C362" s="91">
        <f>(Gradesheet!B390)</f>
        <v>0</v>
      </c>
      <c r="D362" s="92">
        <f>IF(Outline!$C$14&gt;0,Gradesheet!AD390,Gradesheet!AK390)</f>
        <v>0</v>
      </c>
      <c r="E362" s="145">
        <f>IF(Outline!$C$14&gt;0,Gradesheet!L390,Gradesheet!AR390)</f>
        <v>0</v>
      </c>
      <c r="F362" s="145">
        <f>IF(Outline!$C$14&gt;0,Gradesheet!AZ390,"NA")</f>
        <v>0</v>
      </c>
      <c r="G362" s="145">
        <f>IF(Outline!$C$14&gt;0,Gradesheet!U360,Gradesheet!AY360)</f>
        <v>0</v>
      </c>
      <c r="H362" s="146">
        <f t="shared" si="6"/>
        <v>0</v>
      </c>
    </row>
    <row r="363" spans="2:8" hidden="1" x14ac:dyDescent="0.25">
      <c r="B363" s="90">
        <f>Gradesheet!A391</f>
        <v>39</v>
      </c>
      <c r="C363" s="91">
        <f>(Gradesheet!B391)</f>
        <v>0</v>
      </c>
      <c r="D363" s="92">
        <f>IF(Outline!$C$14&gt;0,Gradesheet!AD391,Gradesheet!AK391)</f>
        <v>0</v>
      </c>
      <c r="E363" s="145">
        <f>IF(Outline!$C$14&gt;0,Gradesheet!L391,Gradesheet!AR391)</f>
        <v>0</v>
      </c>
      <c r="F363" s="145">
        <f>IF(Outline!$C$14&gt;0,Gradesheet!AZ391,"NA")</f>
        <v>0</v>
      </c>
      <c r="G363" s="145">
        <f>IF(Outline!$C$14&gt;0,Gradesheet!U361,Gradesheet!AY361)</f>
        <v>0</v>
      </c>
      <c r="H363" s="146">
        <f t="shared" si="6"/>
        <v>0</v>
      </c>
    </row>
    <row r="364" spans="2:8" hidden="1" x14ac:dyDescent="0.25">
      <c r="B364" s="90">
        <f>Gradesheet!A392</f>
        <v>40</v>
      </c>
      <c r="C364" s="91">
        <f>(Gradesheet!B392)</f>
        <v>0</v>
      </c>
      <c r="D364" s="92">
        <f>IF(Outline!$C$14&gt;0,Gradesheet!AD392,Gradesheet!AK392)</f>
        <v>0</v>
      </c>
      <c r="E364" s="145">
        <f>IF(Outline!$C$14&gt;0,Gradesheet!L392,Gradesheet!AR392)</f>
        <v>0</v>
      </c>
      <c r="F364" s="145">
        <f>IF(Outline!$C$14&gt;0,Gradesheet!AZ392,"NA")</f>
        <v>0</v>
      </c>
      <c r="G364" s="145">
        <f>IF(Outline!$C$14&gt;0,Gradesheet!U362,Gradesheet!AY362)</f>
        <v>0</v>
      </c>
      <c r="H364" s="146">
        <f t="shared" si="6"/>
        <v>0</v>
      </c>
    </row>
    <row r="365" spans="2:8" hidden="1" x14ac:dyDescent="0.25">
      <c r="B365" s="90">
        <f>Gradesheet!A393</f>
        <v>41</v>
      </c>
      <c r="C365" s="91">
        <f>(Gradesheet!B393)</f>
        <v>0</v>
      </c>
      <c r="D365" s="92">
        <f>IF(Outline!$C$14&gt;0,Gradesheet!AD393,Gradesheet!AK393)</f>
        <v>0</v>
      </c>
      <c r="E365" s="145">
        <f>IF(Outline!$C$14&gt;0,Gradesheet!L393,Gradesheet!AR393)</f>
        <v>0</v>
      </c>
      <c r="F365" s="145">
        <f>IF(Outline!$C$14&gt;0,Gradesheet!AZ393,"NA")</f>
        <v>0</v>
      </c>
      <c r="G365" s="145">
        <f>IF(Outline!$C$14&gt;0,Gradesheet!U363,Gradesheet!AY363)</f>
        <v>0</v>
      </c>
      <c r="H365" s="146">
        <f t="shared" si="6"/>
        <v>0</v>
      </c>
    </row>
    <row r="366" spans="2:8" hidden="1" x14ac:dyDescent="0.25">
      <c r="B366" s="90">
        <f>Gradesheet!A394</f>
        <v>42</v>
      </c>
      <c r="C366" s="91">
        <f>(Gradesheet!B394)</f>
        <v>0</v>
      </c>
      <c r="D366" s="92">
        <f>IF(Outline!$C$14&gt;0,Gradesheet!AD394,Gradesheet!AK394)</f>
        <v>0</v>
      </c>
      <c r="E366" s="145">
        <f>IF(Outline!$C$14&gt;0,Gradesheet!L394,Gradesheet!AR394)</f>
        <v>0</v>
      </c>
      <c r="F366" s="145">
        <f>IF(Outline!$C$14&gt;0,Gradesheet!AZ394,"NA")</f>
        <v>0</v>
      </c>
      <c r="G366" s="145">
        <f>IF(Outline!$C$14&gt;0,Gradesheet!U364,Gradesheet!AY364)</f>
        <v>0</v>
      </c>
      <c r="H366" s="146">
        <f t="shared" si="6"/>
        <v>0</v>
      </c>
    </row>
    <row r="367" spans="2:8" hidden="1" x14ac:dyDescent="0.25">
      <c r="B367" s="90">
        <f>Gradesheet!A395</f>
        <v>0</v>
      </c>
      <c r="C367" s="91">
        <f>(Gradesheet!B395)</f>
        <v>0</v>
      </c>
      <c r="D367" s="92">
        <f>IF(Outline!$C$14&gt;0,Gradesheet!AD395,Gradesheet!AK395)</f>
        <v>0</v>
      </c>
      <c r="E367" s="145">
        <f>IF(Outline!$C$14&gt;0,Gradesheet!L395,Gradesheet!AR395)</f>
        <v>0</v>
      </c>
      <c r="F367" s="145">
        <f>IF(Outline!$C$14&gt;0,Gradesheet!AZ395,"NA")</f>
        <v>0</v>
      </c>
      <c r="G367" s="145">
        <f>IF(Outline!$C$14&gt;0,Gradesheet!U365,Gradesheet!AY365)</f>
        <v>0</v>
      </c>
      <c r="H367" s="146">
        <f t="shared" si="6"/>
        <v>0</v>
      </c>
    </row>
    <row r="368" spans="2:8" hidden="1" x14ac:dyDescent="0.25">
      <c r="B368" s="90">
        <f>Gradesheet!A396</f>
        <v>1</v>
      </c>
      <c r="C368" s="91">
        <f>(Gradesheet!B396)</f>
        <v>0</v>
      </c>
      <c r="D368" s="92">
        <f>IF(Outline!$C$14&gt;0,Gradesheet!AD396,Gradesheet!AK396)</f>
        <v>0</v>
      </c>
      <c r="E368" s="145">
        <f>IF(Outline!$C$14&gt;0,Gradesheet!L396,Gradesheet!AR396)</f>
        <v>0</v>
      </c>
      <c r="F368" s="145">
        <f>IF(Outline!$C$14&gt;0,Gradesheet!AZ396,"NA")</f>
        <v>0</v>
      </c>
      <c r="G368" s="145">
        <f>IF(Outline!$C$14&gt;0,Gradesheet!U366,Gradesheet!AY366)</f>
        <v>0</v>
      </c>
      <c r="H368" s="146">
        <f t="shared" si="6"/>
        <v>0</v>
      </c>
    </row>
    <row r="369" spans="2:8" hidden="1" x14ac:dyDescent="0.25">
      <c r="B369" s="90">
        <f>Gradesheet!A397</f>
        <v>2</v>
      </c>
      <c r="C369" s="91">
        <f>(Gradesheet!B397)</f>
        <v>0</v>
      </c>
      <c r="D369" s="92">
        <f>IF(Outline!$C$14&gt;0,Gradesheet!AD397,Gradesheet!AK397)</f>
        <v>0</v>
      </c>
      <c r="E369" s="145">
        <f>IF(Outline!$C$14&gt;0,Gradesheet!L397,Gradesheet!AR397)</f>
        <v>0</v>
      </c>
      <c r="F369" s="145">
        <f>IF(Outline!$C$14&gt;0,Gradesheet!AZ397,"NA")</f>
        <v>0</v>
      </c>
      <c r="G369" s="145">
        <f>IF(Outline!$C$14&gt;0,Gradesheet!U367,Gradesheet!AY367)</f>
        <v>0</v>
      </c>
      <c r="H369" s="146">
        <f t="shared" si="6"/>
        <v>0</v>
      </c>
    </row>
    <row r="370" spans="2:8" hidden="1" x14ac:dyDescent="0.25">
      <c r="B370" s="90">
        <f>Gradesheet!A398</f>
        <v>3</v>
      </c>
      <c r="C370" s="91">
        <f>(Gradesheet!B398)</f>
        <v>0</v>
      </c>
      <c r="D370" s="92">
        <f>IF(Outline!$C$14&gt;0,Gradesheet!AD398,Gradesheet!AK398)</f>
        <v>0</v>
      </c>
      <c r="E370" s="145">
        <f>IF(Outline!$C$14&gt;0,Gradesheet!L398,Gradesheet!AR398)</f>
        <v>0</v>
      </c>
      <c r="F370" s="145">
        <f>IF(Outline!$C$14&gt;0,Gradesheet!AZ398,"NA")</f>
        <v>0</v>
      </c>
      <c r="G370" s="145">
        <f>IF(Outline!$C$14&gt;0,Gradesheet!U368,Gradesheet!AY368)</f>
        <v>0</v>
      </c>
      <c r="H370" s="146">
        <f t="shared" si="6"/>
        <v>0</v>
      </c>
    </row>
    <row r="371" spans="2:8" hidden="1" x14ac:dyDescent="0.25">
      <c r="B371" s="90">
        <f>Gradesheet!A399</f>
        <v>4</v>
      </c>
      <c r="C371" s="91">
        <f>(Gradesheet!B399)</f>
        <v>0</v>
      </c>
      <c r="D371" s="92">
        <f>IF(Outline!$C$14&gt;0,Gradesheet!AD399,Gradesheet!AK399)</f>
        <v>0</v>
      </c>
      <c r="E371" s="145">
        <f>IF(Outline!$C$14&gt;0,Gradesheet!L399,Gradesheet!AR399)</f>
        <v>0</v>
      </c>
      <c r="F371" s="145">
        <f>IF(Outline!$C$14&gt;0,Gradesheet!AZ399,"NA")</f>
        <v>0</v>
      </c>
      <c r="G371" s="145">
        <f>IF(Outline!$C$14&gt;0,Gradesheet!U369,Gradesheet!AY369)</f>
        <v>0</v>
      </c>
      <c r="H371" s="146">
        <f t="shared" si="6"/>
        <v>0</v>
      </c>
    </row>
    <row r="372" spans="2:8" hidden="1" x14ac:dyDescent="0.25">
      <c r="B372" s="90">
        <f>Gradesheet!A400</f>
        <v>5</v>
      </c>
      <c r="C372" s="91">
        <f>(Gradesheet!B400)</f>
        <v>0</v>
      </c>
      <c r="D372" s="92">
        <f>IF(Outline!$C$14&gt;0,Gradesheet!AD400,Gradesheet!AK400)</f>
        <v>0</v>
      </c>
      <c r="E372" s="145">
        <f>IF(Outline!$C$14&gt;0,Gradesheet!L400,Gradesheet!AR400)</f>
        <v>0</v>
      </c>
      <c r="F372" s="145">
        <f>IF(Outline!$C$14&gt;0,Gradesheet!AZ400,"NA")</f>
        <v>0</v>
      </c>
      <c r="G372" s="145">
        <f>IF(Outline!$C$14&gt;0,Gradesheet!U370,Gradesheet!AY370)</f>
        <v>0</v>
      </c>
      <c r="H372" s="146">
        <f t="shared" si="6"/>
        <v>0</v>
      </c>
    </row>
    <row r="373" spans="2:8" hidden="1" x14ac:dyDescent="0.25">
      <c r="B373" s="90">
        <f>Gradesheet!A401</f>
        <v>6</v>
      </c>
      <c r="C373" s="91">
        <f>(Gradesheet!B401)</f>
        <v>0</v>
      </c>
      <c r="D373" s="92">
        <f>IF(Outline!$C$14&gt;0,Gradesheet!AD401,Gradesheet!AK401)</f>
        <v>0</v>
      </c>
      <c r="E373" s="145">
        <f>IF(Outline!$C$14&gt;0,Gradesheet!L401,Gradesheet!AR401)</f>
        <v>0</v>
      </c>
      <c r="F373" s="145">
        <f>IF(Outline!$C$14&gt;0,Gradesheet!AZ401,"NA")</f>
        <v>0</v>
      </c>
      <c r="G373" s="145">
        <f>IF(Outline!$C$14&gt;0,Gradesheet!U371,Gradesheet!AY371)</f>
        <v>0</v>
      </c>
      <c r="H373" s="146">
        <f t="shared" si="6"/>
        <v>0</v>
      </c>
    </row>
    <row r="374" spans="2:8" hidden="1" x14ac:dyDescent="0.25">
      <c r="B374" s="90">
        <f>Gradesheet!A402</f>
        <v>7</v>
      </c>
      <c r="C374" s="91">
        <f>(Gradesheet!B402)</f>
        <v>0</v>
      </c>
      <c r="D374" s="92">
        <f>IF(Outline!$C$14&gt;0,Gradesheet!AD402,Gradesheet!AK402)</f>
        <v>0</v>
      </c>
      <c r="E374" s="145">
        <f>IF(Outline!$C$14&gt;0,Gradesheet!L402,Gradesheet!AR402)</f>
        <v>0</v>
      </c>
      <c r="F374" s="145">
        <f>IF(Outline!$C$14&gt;0,Gradesheet!AZ402,"NA")</f>
        <v>0</v>
      </c>
      <c r="G374" s="145">
        <f>IF(Outline!$C$14&gt;0,Gradesheet!U372,Gradesheet!AY372)</f>
        <v>0</v>
      </c>
      <c r="H374" s="146">
        <f t="shared" si="6"/>
        <v>0</v>
      </c>
    </row>
    <row r="375" spans="2:8" hidden="1" x14ac:dyDescent="0.25">
      <c r="B375" s="90">
        <f>Gradesheet!A403</f>
        <v>8</v>
      </c>
      <c r="C375" s="91">
        <f>(Gradesheet!B403)</f>
        <v>0</v>
      </c>
      <c r="D375" s="92">
        <f>IF(Outline!$C$14&gt;0,Gradesheet!AD403,Gradesheet!AK403)</f>
        <v>0</v>
      </c>
      <c r="E375" s="145">
        <f>IF(Outline!$C$14&gt;0,Gradesheet!L403,Gradesheet!AR403)</f>
        <v>0</v>
      </c>
      <c r="F375" s="145">
        <f>IF(Outline!$C$14&gt;0,Gradesheet!AZ403,"NA")</f>
        <v>0</v>
      </c>
      <c r="G375" s="145">
        <f>IF(Outline!$C$14&gt;0,Gradesheet!U373,Gradesheet!AY373)</f>
        <v>0</v>
      </c>
      <c r="H375" s="146">
        <f t="shared" si="6"/>
        <v>0</v>
      </c>
    </row>
    <row r="376" spans="2:8" hidden="1" x14ac:dyDescent="0.25">
      <c r="B376" s="90">
        <f>Gradesheet!A404</f>
        <v>9</v>
      </c>
      <c r="C376" s="91">
        <f>(Gradesheet!B404)</f>
        <v>0</v>
      </c>
      <c r="D376" s="92">
        <f>IF(Outline!$C$14&gt;0,Gradesheet!AD404,Gradesheet!AK404)</f>
        <v>0</v>
      </c>
      <c r="E376" s="145">
        <f>IF(Outline!$C$14&gt;0,Gradesheet!L404,Gradesheet!AR404)</f>
        <v>0</v>
      </c>
      <c r="F376" s="145">
        <f>IF(Outline!$C$14&gt;0,Gradesheet!AZ404,"NA")</f>
        <v>0</v>
      </c>
      <c r="G376" s="145">
        <f>IF(Outline!$C$14&gt;0,Gradesheet!U374,Gradesheet!AY374)</f>
        <v>0</v>
      </c>
      <c r="H376" s="146">
        <f t="shared" si="6"/>
        <v>0</v>
      </c>
    </row>
    <row r="377" spans="2:8" hidden="1" x14ac:dyDescent="0.25">
      <c r="B377" s="90">
        <f>Gradesheet!A405</f>
        <v>10</v>
      </c>
      <c r="C377" s="91">
        <f>(Gradesheet!B405)</f>
        <v>0</v>
      </c>
      <c r="D377" s="92">
        <f>IF(Outline!$C$14&gt;0,Gradesheet!AD405,Gradesheet!AK405)</f>
        <v>0</v>
      </c>
      <c r="E377" s="145">
        <f>IF(Outline!$C$14&gt;0,Gradesheet!L405,Gradesheet!AR405)</f>
        <v>0</v>
      </c>
      <c r="F377" s="145">
        <f>IF(Outline!$C$14&gt;0,Gradesheet!AZ405,"NA")</f>
        <v>0</v>
      </c>
      <c r="G377" s="145">
        <f>IF(Outline!$C$14&gt;0,Gradesheet!U375,Gradesheet!AY375)</f>
        <v>0</v>
      </c>
      <c r="H377" s="146">
        <f t="shared" si="6"/>
        <v>0</v>
      </c>
    </row>
    <row r="378" spans="2:8" hidden="1" x14ac:dyDescent="0.25">
      <c r="B378" s="90">
        <f>Gradesheet!A406</f>
        <v>11</v>
      </c>
      <c r="C378" s="91">
        <f>(Gradesheet!B406)</f>
        <v>0</v>
      </c>
      <c r="D378" s="92">
        <f>IF(Outline!$C$14&gt;0,Gradesheet!AD406,Gradesheet!AK406)</f>
        <v>0</v>
      </c>
      <c r="E378" s="145">
        <f>IF(Outline!$C$14&gt;0,Gradesheet!L406,Gradesheet!AR406)</f>
        <v>0</v>
      </c>
      <c r="F378" s="145">
        <f>IF(Outline!$C$14&gt;0,Gradesheet!AZ406,"NA")</f>
        <v>0</v>
      </c>
      <c r="G378" s="145">
        <f>IF(Outline!$C$14&gt;0,Gradesheet!U376,Gradesheet!AY376)</f>
        <v>0</v>
      </c>
      <c r="H378" s="146">
        <f t="shared" si="6"/>
        <v>0</v>
      </c>
    </row>
    <row r="379" spans="2:8" hidden="1" x14ac:dyDescent="0.25">
      <c r="B379" s="90">
        <f>Gradesheet!A407</f>
        <v>12</v>
      </c>
      <c r="C379" s="91">
        <f>(Gradesheet!B407)</f>
        <v>0</v>
      </c>
      <c r="D379" s="92">
        <f>IF(Outline!$C$14&gt;0,Gradesheet!AD407,Gradesheet!AK407)</f>
        <v>0</v>
      </c>
      <c r="E379" s="145">
        <f>IF(Outline!$C$14&gt;0,Gradesheet!L407,Gradesheet!AR407)</f>
        <v>0</v>
      </c>
      <c r="F379" s="145">
        <f>IF(Outline!$C$14&gt;0,Gradesheet!AZ407,"NA")</f>
        <v>0</v>
      </c>
      <c r="G379" s="145">
        <f>IF(Outline!$C$14&gt;0,Gradesheet!U377,Gradesheet!AY377)</f>
        <v>0</v>
      </c>
      <c r="H379" s="146">
        <f t="shared" si="6"/>
        <v>0</v>
      </c>
    </row>
    <row r="380" spans="2:8" hidden="1" x14ac:dyDescent="0.25">
      <c r="B380" s="90">
        <f>Gradesheet!A408</f>
        <v>13</v>
      </c>
      <c r="C380" s="91">
        <f>(Gradesheet!B408)</f>
        <v>0</v>
      </c>
      <c r="D380" s="92">
        <f>IF(Outline!$C$14&gt;0,Gradesheet!AD408,Gradesheet!AK408)</f>
        <v>0</v>
      </c>
      <c r="E380" s="145">
        <f>IF(Outline!$C$14&gt;0,Gradesheet!L408,Gradesheet!AR408)</f>
        <v>0</v>
      </c>
      <c r="F380" s="145">
        <f>IF(Outline!$C$14&gt;0,Gradesheet!AZ408,"NA")</f>
        <v>0</v>
      </c>
      <c r="G380" s="145">
        <f>IF(Outline!$C$14&gt;0,Gradesheet!U378,Gradesheet!AY378)</f>
        <v>0</v>
      </c>
      <c r="H380" s="146">
        <f t="shared" si="6"/>
        <v>0</v>
      </c>
    </row>
    <row r="381" spans="2:8" hidden="1" x14ac:dyDescent="0.25">
      <c r="B381" s="90">
        <f>Gradesheet!A409</f>
        <v>14</v>
      </c>
      <c r="C381" s="91">
        <f>(Gradesheet!B409)</f>
        <v>0</v>
      </c>
      <c r="D381" s="92">
        <f>IF(Outline!$C$14&gt;0,Gradesheet!AD409,Gradesheet!AK409)</f>
        <v>0</v>
      </c>
      <c r="E381" s="145">
        <f>IF(Outline!$C$14&gt;0,Gradesheet!L409,Gradesheet!AR409)</f>
        <v>0</v>
      </c>
      <c r="F381" s="145">
        <f>IF(Outline!$C$14&gt;0,Gradesheet!AZ409,"NA")</f>
        <v>0</v>
      </c>
      <c r="G381" s="145">
        <f>IF(Outline!$C$14&gt;0,Gradesheet!U379,Gradesheet!AY379)</f>
        <v>0</v>
      </c>
      <c r="H381" s="146">
        <f t="shared" si="6"/>
        <v>0</v>
      </c>
    </row>
    <row r="382" spans="2:8" hidden="1" x14ac:dyDescent="0.25">
      <c r="B382" s="90">
        <f>Gradesheet!A410</f>
        <v>15</v>
      </c>
      <c r="C382" s="91">
        <f>(Gradesheet!B410)</f>
        <v>0</v>
      </c>
      <c r="D382" s="92">
        <f>IF(Outline!$C$14&gt;0,Gradesheet!AD410,Gradesheet!AK410)</f>
        <v>0</v>
      </c>
      <c r="E382" s="145">
        <f>IF(Outline!$C$14&gt;0,Gradesheet!L410,Gradesheet!AR410)</f>
        <v>0</v>
      </c>
      <c r="F382" s="145">
        <f>IF(Outline!$C$14&gt;0,Gradesheet!AZ410,"NA")</f>
        <v>0</v>
      </c>
      <c r="G382" s="145">
        <f>IF(Outline!$C$14&gt;0,Gradesheet!U380,Gradesheet!AY380)</f>
        <v>0</v>
      </c>
      <c r="H382" s="146">
        <f t="shared" si="6"/>
        <v>0</v>
      </c>
    </row>
    <row r="383" spans="2:8" hidden="1" x14ac:dyDescent="0.25">
      <c r="B383" s="90">
        <f>Gradesheet!A411</f>
        <v>16</v>
      </c>
      <c r="C383" s="91">
        <f>(Gradesheet!B411)</f>
        <v>0</v>
      </c>
      <c r="D383" s="92">
        <f>IF(Outline!$C$14&gt;0,Gradesheet!AD411,Gradesheet!AK411)</f>
        <v>0</v>
      </c>
      <c r="E383" s="145">
        <f>IF(Outline!$C$14&gt;0,Gradesheet!L411,Gradesheet!AR411)</f>
        <v>0</v>
      </c>
      <c r="F383" s="145">
        <f>IF(Outline!$C$14&gt;0,Gradesheet!AZ411,"NA")</f>
        <v>0</v>
      </c>
      <c r="G383" s="145">
        <f>IF(Outline!$C$14&gt;0,Gradesheet!U381,Gradesheet!AY381)</f>
        <v>0</v>
      </c>
      <c r="H383" s="146">
        <f t="shared" si="6"/>
        <v>0</v>
      </c>
    </row>
    <row r="384" spans="2:8" hidden="1" x14ac:dyDescent="0.25">
      <c r="B384" s="90">
        <f>Gradesheet!A412</f>
        <v>17</v>
      </c>
      <c r="C384" s="91">
        <f>(Gradesheet!B412)</f>
        <v>0</v>
      </c>
      <c r="D384" s="92">
        <f>IF(Outline!$C$14&gt;0,Gradesheet!AD412,Gradesheet!AK412)</f>
        <v>0</v>
      </c>
      <c r="E384" s="145">
        <f>IF(Outline!$C$14&gt;0,Gradesheet!L412,Gradesheet!AR412)</f>
        <v>0</v>
      </c>
      <c r="F384" s="145">
        <f>IF(Outline!$C$14&gt;0,Gradesheet!AZ412,"NA")</f>
        <v>0</v>
      </c>
      <c r="G384" s="145">
        <f>IF(Outline!$C$14&gt;0,Gradesheet!U382,Gradesheet!AY382)</f>
        <v>0</v>
      </c>
      <c r="H384" s="146">
        <f t="shared" si="6"/>
        <v>0</v>
      </c>
    </row>
    <row r="385" spans="2:8" hidden="1" x14ac:dyDescent="0.25">
      <c r="B385" s="90">
        <f>Gradesheet!A413</f>
        <v>18</v>
      </c>
      <c r="C385" s="91">
        <f>(Gradesheet!B413)</f>
        <v>0</v>
      </c>
      <c r="D385" s="92">
        <f>IF(Outline!$C$14&gt;0,Gradesheet!AD413,Gradesheet!AK413)</f>
        <v>0</v>
      </c>
      <c r="E385" s="145">
        <f>IF(Outline!$C$14&gt;0,Gradesheet!L413,Gradesheet!AR413)</f>
        <v>0</v>
      </c>
      <c r="F385" s="145">
        <f>IF(Outline!$C$14&gt;0,Gradesheet!AZ413,"NA")</f>
        <v>0</v>
      </c>
      <c r="G385" s="145">
        <f>IF(Outline!$C$14&gt;0,Gradesheet!U383,Gradesheet!AY383)</f>
        <v>0</v>
      </c>
      <c r="H385" s="146">
        <f t="shared" si="6"/>
        <v>0</v>
      </c>
    </row>
    <row r="386" spans="2:8" hidden="1" x14ac:dyDescent="0.25">
      <c r="B386" s="90">
        <f>Gradesheet!A414</f>
        <v>19</v>
      </c>
      <c r="C386" s="91">
        <f>(Gradesheet!B414)</f>
        <v>0</v>
      </c>
      <c r="D386" s="92">
        <f>IF(Outline!$C$14&gt;0,Gradesheet!AD414,Gradesheet!AK414)</f>
        <v>0</v>
      </c>
      <c r="E386" s="145">
        <f>IF(Outline!$C$14&gt;0,Gradesheet!L414,Gradesheet!AR414)</f>
        <v>0</v>
      </c>
      <c r="F386" s="145">
        <f>IF(Outline!$C$14&gt;0,Gradesheet!AZ414,"NA")</f>
        <v>0</v>
      </c>
      <c r="G386" s="145">
        <f>IF(Outline!$C$14&gt;0,Gradesheet!U384,Gradesheet!AY384)</f>
        <v>0</v>
      </c>
      <c r="H386" s="146">
        <f t="shared" si="6"/>
        <v>0</v>
      </c>
    </row>
    <row r="387" spans="2:8" hidden="1" x14ac:dyDescent="0.25">
      <c r="B387" s="90">
        <f>Gradesheet!A415</f>
        <v>20</v>
      </c>
      <c r="C387" s="91">
        <f>(Gradesheet!B415)</f>
        <v>0</v>
      </c>
      <c r="D387" s="92">
        <f>IF(Outline!$C$14&gt;0,Gradesheet!AD415,Gradesheet!AK415)</f>
        <v>0</v>
      </c>
      <c r="E387" s="145">
        <f>IF(Outline!$C$14&gt;0,Gradesheet!L415,Gradesheet!AR415)</f>
        <v>0</v>
      </c>
      <c r="F387" s="145">
        <f>IF(Outline!$C$14&gt;0,Gradesheet!AZ415,"NA")</f>
        <v>0</v>
      </c>
      <c r="G387" s="145">
        <f>IF(Outline!$C$14&gt;0,Gradesheet!U385,Gradesheet!AY385)</f>
        <v>0</v>
      </c>
      <c r="H387" s="146">
        <f t="shared" si="6"/>
        <v>0</v>
      </c>
    </row>
    <row r="388" spans="2:8" hidden="1" x14ac:dyDescent="0.25">
      <c r="B388" s="90">
        <f>Gradesheet!A416</f>
        <v>21</v>
      </c>
      <c r="C388" s="91">
        <f>(Gradesheet!B416)</f>
        <v>0</v>
      </c>
      <c r="D388" s="92">
        <f>IF(Outline!$C$14&gt;0,Gradesheet!AD416,Gradesheet!AK416)</f>
        <v>0</v>
      </c>
      <c r="E388" s="145">
        <f>IF(Outline!$C$14&gt;0,Gradesheet!L416,Gradesheet!AR416)</f>
        <v>0</v>
      </c>
      <c r="F388" s="145">
        <f>IF(Outline!$C$14&gt;0,Gradesheet!AZ416,"NA")</f>
        <v>0</v>
      </c>
      <c r="G388" s="145">
        <f>IF(Outline!$C$14&gt;0,Gradesheet!U386,Gradesheet!AY386)</f>
        <v>0</v>
      </c>
      <c r="H388" s="146">
        <f t="shared" si="6"/>
        <v>0</v>
      </c>
    </row>
    <row r="389" spans="2:8" hidden="1" x14ac:dyDescent="0.25">
      <c r="B389" s="90">
        <f>Gradesheet!A417</f>
        <v>22</v>
      </c>
      <c r="C389" s="91">
        <f>(Gradesheet!B417)</f>
        <v>0</v>
      </c>
      <c r="D389" s="92">
        <f>IF(Outline!$C$14&gt;0,Gradesheet!AD417,Gradesheet!AK417)</f>
        <v>0</v>
      </c>
      <c r="E389" s="145">
        <f>IF(Outline!$C$14&gt;0,Gradesheet!L417,Gradesheet!AR417)</f>
        <v>0</v>
      </c>
      <c r="F389" s="145">
        <f>IF(Outline!$C$14&gt;0,Gradesheet!AZ417,"NA")</f>
        <v>0</v>
      </c>
      <c r="G389" s="145">
        <f>IF(Outline!$C$14&gt;0,Gradesheet!U387,Gradesheet!AY387)</f>
        <v>0</v>
      </c>
      <c r="H389" s="146">
        <f t="shared" si="6"/>
        <v>0</v>
      </c>
    </row>
    <row r="390" spans="2:8" hidden="1" x14ac:dyDescent="0.25">
      <c r="B390" s="90">
        <f>Gradesheet!A418</f>
        <v>23</v>
      </c>
      <c r="C390" s="91">
        <f>(Gradesheet!B418)</f>
        <v>0</v>
      </c>
      <c r="D390" s="92">
        <f>IF(Outline!$C$14&gt;0,Gradesheet!AD418,Gradesheet!AK418)</f>
        <v>0</v>
      </c>
      <c r="E390" s="145">
        <f>IF(Outline!$C$14&gt;0,Gradesheet!L418,Gradesheet!AR418)</f>
        <v>0</v>
      </c>
      <c r="F390" s="145">
        <f>IF(Outline!$C$14&gt;0,Gradesheet!AZ418,"NA")</f>
        <v>0</v>
      </c>
      <c r="G390" s="145">
        <f>IF(Outline!$C$14&gt;0,Gradesheet!U388,Gradesheet!AY388)</f>
        <v>0</v>
      </c>
      <c r="H390" s="146">
        <f t="shared" si="6"/>
        <v>0</v>
      </c>
    </row>
    <row r="391" spans="2:8" hidden="1" x14ac:dyDescent="0.25">
      <c r="B391" s="90">
        <f>Gradesheet!A419</f>
        <v>24</v>
      </c>
      <c r="C391" s="91">
        <f>(Gradesheet!B419)</f>
        <v>0</v>
      </c>
      <c r="D391" s="92">
        <f>IF(Outline!$C$14&gt;0,Gradesheet!AD419,Gradesheet!AK419)</f>
        <v>0</v>
      </c>
      <c r="E391" s="145">
        <f>IF(Outline!$C$14&gt;0,Gradesheet!L419,Gradesheet!AR419)</f>
        <v>0</v>
      </c>
      <c r="F391" s="145">
        <f>IF(Outline!$C$14&gt;0,Gradesheet!AZ419,"NA")</f>
        <v>0</v>
      </c>
      <c r="G391" s="145">
        <f>IF(Outline!$C$14&gt;0,Gradesheet!U389,Gradesheet!AY389)</f>
        <v>0</v>
      </c>
      <c r="H391" s="146">
        <f t="shared" ref="H391:H454" si="7">SUM(D391:G391)</f>
        <v>0</v>
      </c>
    </row>
    <row r="392" spans="2:8" hidden="1" x14ac:dyDescent="0.25">
      <c r="B392" s="90">
        <f>Gradesheet!A420</f>
        <v>25</v>
      </c>
      <c r="C392" s="91">
        <f>(Gradesheet!B420)</f>
        <v>0</v>
      </c>
      <c r="D392" s="92">
        <f>IF(Outline!$C$14&gt;0,Gradesheet!AD420,Gradesheet!AK420)</f>
        <v>0</v>
      </c>
      <c r="E392" s="145">
        <f>IF(Outline!$C$14&gt;0,Gradesheet!L420,Gradesheet!AR420)</f>
        <v>0</v>
      </c>
      <c r="F392" s="145">
        <f>IF(Outline!$C$14&gt;0,Gradesheet!AZ420,"NA")</f>
        <v>0</v>
      </c>
      <c r="G392" s="145">
        <f>IF(Outline!$C$14&gt;0,Gradesheet!U390,Gradesheet!AY390)</f>
        <v>0</v>
      </c>
      <c r="H392" s="146">
        <f t="shared" si="7"/>
        <v>0</v>
      </c>
    </row>
    <row r="393" spans="2:8" hidden="1" x14ac:dyDescent="0.25">
      <c r="B393" s="90">
        <f>Gradesheet!A421</f>
        <v>26</v>
      </c>
      <c r="C393" s="91">
        <f>(Gradesheet!B421)</f>
        <v>0</v>
      </c>
      <c r="D393" s="92">
        <f>IF(Outline!$C$14&gt;0,Gradesheet!AD421,Gradesheet!AK421)</f>
        <v>0</v>
      </c>
      <c r="E393" s="145">
        <f>IF(Outline!$C$14&gt;0,Gradesheet!L421,Gradesheet!AR421)</f>
        <v>0</v>
      </c>
      <c r="F393" s="145">
        <f>IF(Outline!$C$14&gt;0,Gradesheet!AZ421,"NA")</f>
        <v>0</v>
      </c>
      <c r="G393" s="145">
        <f>IF(Outline!$C$14&gt;0,Gradesheet!U391,Gradesheet!AY391)</f>
        <v>0</v>
      </c>
      <c r="H393" s="146">
        <f t="shared" si="7"/>
        <v>0</v>
      </c>
    </row>
    <row r="394" spans="2:8" hidden="1" x14ac:dyDescent="0.25">
      <c r="B394" s="90">
        <f>Gradesheet!A422</f>
        <v>27</v>
      </c>
      <c r="C394" s="91">
        <f>(Gradesheet!B422)</f>
        <v>0</v>
      </c>
      <c r="D394" s="92">
        <f>IF(Outline!$C$14&gt;0,Gradesheet!AD422,Gradesheet!AK422)</f>
        <v>0</v>
      </c>
      <c r="E394" s="145">
        <f>IF(Outline!$C$14&gt;0,Gradesheet!L422,Gradesheet!AR422)</f>
        <v>0</v>
      </c>
      <c r="F394" s="145">
        <f>IF(Outline!$C$14&gt;0,Gradesheet!AZ422,"NA")</f>
        <v>0</v>
      </c>
      <c r="G394" s="145">
        <f>IF(Outline!$C$14&gt;0,Gradesheet!U392,Gradesheet!AY392)</f>
        <v>0</v>
      </c>
      <c r="H394" s="146">
        <f t="shared" si="7"/>
        <v>0</v>
      </c>
    </row>
    <row r="395" spans="2:8" hidden="1" x14ac:dyDescent="0.25">
      <c r="B395" s="90">
        <f>Gradesheet!A423</f>
        <v>28</v>
      </c>
      <c r="C395" s="91">
        <f>(Gradesheet!B423)</f>
        <v>0</v>
      </c>
      <c r="D395" s="92">
        <f>IF(Outline!$C$14&gt;0,Gradesheet!AD423,Gradesheet!AK423)</f>
        <v>0</v>
      </c>
      <c r="E395" s="145">
        <f>IF(Outline!$C$14&gt;0,Gradesheet!L423,Gradesheet!AR423)</f>
        <v>0</v>
      </c>
      <c r="F395" s="145">
        <f>IF(Outline!$C$14&gt;0,Gradesheet!AZ423,"NA")</f>
        <v>0</v>
      </c>
      <c r="G395" s="145">
        <f>IF(Outline!$C$14&gt;0,Gradesheet!U393,Gradesheet!AY393)</f>
        <v>0</v>
      </c>
      <c r="H395" s="146">
        <f t="shared" si="7"/>
        <v>0</v>
      </c>
    </row>
    <row r="396" spans="2:8" hidden="1" x14ac:dyDescent="0.25">
      <c r="B396" s="90">
        <f>Gradesheet!A424</f>
        <v>29</v>
      </c>
      <c r="C396" s="91">
        <f>(Gradesheet!B424)</f>
        <v>0</v>
      </c>
      <c r="D396" s="92">
        <f>IF(Outline!$C$14&gt;0,Gradesheet!AD424,Gradesheet!AK424)</f>
        <v>0</v>
      </c>
      <c r="E396" s="145">
        <f>IF(Outline!$C$14&gt;0,Gradesheet!L424,Gradesheet!AR424)</f>
        <v>0</v>
      </c>
      <c r="F396" s="145">
        <f>IF(Outline!$C$14&gt;0,Gradesheet!AZ424,"NA")</f>
        <v>0</v>
      </c>
      <c r="G396" s="145">
        <f>IF(Outline!$C$14&gt;0,Gradesheet!U394,Gradesheet!AY394)</f>
        <v>0</v>
      </c>
      <c r="H396" s="146">
        <f t="shared" si="7"/>
        <v>0</v>
      </c>
    </row>
    <row r="397" spans="2:8" hidden="1" x14ac:dyDescent="0.25">
      <c r="B397" s="90">
        <f>Gradesheet!A425</f>
        <v>30</v>
      </c>
      <c r="C397" s="91">
        <f>(Gradesheet!B425)</f>
        <v>0</v>
      </c>
      <c r="D397" s="92">
        <f>IF(Outline!$C$14&gt;0,Gradesheet!AD425,Gradesheet!AK425)</f>
        <v>0</v>
      </c>
      <c r="E397" s="145">
        <f>IF(Outline!$C$14&gt;0,Gradesheet!L425,Gradesheet!AR425)</f>
        <v>0</v>
      </c>
      <c r="F397" s="145">
        <f>IF(Outline!$C$14&gt;0,Gradesheet!AZ425,"NA")</f>
        <v>0</v>
      </c>
      <c r="G397" s="145">
        <f>IF(Outline!$C$14&gt;0,Gradesheet!U395,Gradesheet!AY395)</f>
        <v>0</v>
      </c>
      <c r="H397" s="146">
        <f t="shared" si="7"/>
        <v>0</v>
      </c>
    </row>
    <row r="398" spans="2:8" hidden="1" x14ac:dyDescent="0.25">
      <c r="B398" s="90">
        <f>Gradesheet!A426</f>
        <v>31</v>
      </c>
      <c r="C398" s="91">
        <f>(Gradesheet!B426)</f>
        <v>0</v>
      </c>
      <c r="D398" s="92">
        <f>IF(Outline!$C$14&gt;0,Gradesheet!AD426,Gradesheet!AK426)</f>
        <v>0</v>
      </c>
      <c r="E398" s="145">
        <f>IF(Outline!$C$14&gt;0,Gradesheet!L426,Gradesheet!AR426)</f>
        <v>0</v>
      </c>
      <c r="F398" s="145">
        <f>IF(Outline!$C$14&gt;0,Gradesheet!AZ426,"NA")</f>
        <v>0</v>
      </c>
      <c r="G398" s="145">
        <f>IF(Outline!$C$14&gt;0,Gradesheet!U396,Gradesheet!AY396)</f>
        <v>0</v>
      </c>
      <c r="H398" s="146">
        <f t="shared" si="7"/>
        <v>0</v>
      </c>
    </row>
    <row r="399" spans="2:8" hidden="1" x14ac:dyDescent="0.25">
      <c r="B399" s="90">
        <f>Gradesheet!A427</f>
        <v>32</v>
      </c>
      <c r="C399" s="91">
        <f>(Gradesheet!B427)</f>
        <v>0</v>
      </c>
      <c r="D399" s="92">
        <f>IF(Outline!$C$14&gt;0,Gradesheet!AD427,Gradesheet!AK427)</f>
        <v>0</v>
      </c>
      <c r="E399" s="145">
        <f>IF(Outline!$C$14&gt;0,Gradesheet!L427,Gradesheet!AR427)</f>
        <v>0</v>
      </c>
      <c r="F399" s="145">
        <f>IF(Outline!$C$14&gt;0,Gradesheet!AZ427,"NA")</f>
        <v>0</v>
      </c>
      <c r="G399" s="145">
        <f>IF(Outline!$C$14&gt;0,Gradesheet!U397,Gradesheet!AY397)</f>
        <v>0</v>
      </c>
      <c r="H399" s="146">
        <f t="shared" si="7"/>
        <v>0</v>
      </c>
    </row>
    <row r="400" spans="2:8" hidden="1" x14ac:dyDescent="0.25">
      <c r="B400" s="90">
        <f>Gradesheet!A428</f>
        <v>33</v>
      </c>
      <c r="C400" s="91">
        <f>(Gradesheet!B428)</f>
        <v>0</v>
      </c>
      <c r="D400" s="92">
        <f>IF(Outline!$C$14&gt;0,Gradesheet!AD428,Gradesheet!AK428)</f>
        <v>0</v>
      </c>
      <c r="E400" s="145">
        <f>IF(Outline!$C$14&gt;0,Gradesheet!L428,Gradesheet!AR428)</f>
        <v>0</v>
      </c>
      <c r="F400" s="145">
        <f>IF(Outline!$C$14&gt;0,Gradesheet!AZ428,"NA")</f>
        <v>0</v>
      </c>
      <c r="G400" s="145">
        <f>IF(Outline!$C$14&gt;0,Gradesheet!U398,Gradesheet!AY398)</f>
        <v>0</v>
      </c>
      <c r="H400" s="146">
        <f t="shared" si="7"/>
        <v>0</v>
      </c>
    </row>
    <row r="401" spans="2:8" hidden="1" x14ac:dyDescent="0.25">
      <c r="B401" s="90">
        <f>Gradesheet!A429</f>
        <v>34</v>
      </c>
      <c r="C401" s="91">
        <f>(Gradesheet!B429)</f>
        <v>0</v>
      </c>
      <c r="D401" s="92">
        <f>IF(Outline!$C$14&gt;0,Gradesheet!AD429,Gradesheet!AK429)</f>
        <v>0</v>
      </c>
      <c r="E401" s="145">
        <f>IF(Outline!$C$14&gt;0,Gradesheet!L429,Gradesheet!AR429)</f>
        <v>0</v>
      </c>
      <c r="F401" s="145">
        <f>IF(Outline!$C$14&gt;0,Gradesheet!AZ429,"NA")</f>
        <v>0</v>
      </c>
      <c r="G401" s="145">
        <f>IF(Outline!$C$14&gt;0,Gradesheet!U399,Gradesheet!AY399)</f>
        <v>0</v>
      </c>
      <c r="H401" s="146">
        <f t="shared" si="7"/>
        <v>0</v>
      </c>
    </row>
    <row r="402" spans="2:8" hidden="1" x14ac:dyDescent="0.25">
      <c r="B402" s="90">
        <f>Gradesheet!A430</f>
        <v>35</v>
      </c>
      <c r="C402" s="91">
        <f>(Gradesheet!B430)</f>
        <v>0</v>
      </c>
      <c r="D402" s="92">
        <f>IF(Outline!$C$14&gt;0,Gradesheet!AD430,Gradesheet!AK430)</f>
        <v>0</v>
      </c>
      <c r="E402" s="145">
        <f>IF(Outline!$C$14&gt;0,Gradesheet!L430,Gradesheet!AR430)</f>
        <v>0</v>
      </c>
      <c r="F402" s="145">
        <f>IF(Outline!$C$14&gt;0,Gradesheet!AZ430,"NA")</f>
        <v>0</v>
      </c>
      <c r="G402" s="145">
        <f>IF(Outline!$C$14&gt;0,Gradesheet!U400,Gradesheet!AY400)</f>
        <v>0</v>
      </c>
      <c r="H402" s="146">
        <f t="shared" si="7"/>
        <v>0</v>
      </c>
    </row>
    <row r="403" spans="2:8" hidden="1" x14ac:dyDescent="0.25">
      <c r="B403" s="90">
        <f>Gradesheet!A431</f>
        <v>36</v>
      </c>
      <c r="C403" s="91">
        <f>(Gradesheet!B431)</f>
        <v>0</v>
      </c>
      <c r="D403" s="92">
        <f>IF(Outline!$C$14&gt;0,Gradesheet!AD431,Gradesheet!AK431)</f>
        <v>0</v>
      </c>
      <c r="E403" s="145">
        <f>IF(Outline!$C$14&gt;0,Gradesheet!L431,Gradesheet!AR431)</f>
        <v>0</v>
      </c>
      <c r="F403" s="145">
        <f>IF(Outline!$C$14&gt;0,Gradesheet!AZ431,"NA")</f>
        <v>0</v>
      </c>
      <c r="G403" s="145">
        <f>IF(Outline!$C$14&gt;0,Gradesheet!U401,Gradesheet!AY401)</f>
        <v>0</v>
      </c>
      <c r="H403" s="146">
        <f t="shared" si="7"/>
        <v>0</v>
      </c>
    </row>
    <row r="404" spans="2:8" hidden="1" x14ac:dyDescent="0.25">
      <c r="B404" s="90">
        <f>Gradesheet!A432</f>
        <v>37</v>
      </c>
      <c r="C404" s="91">
        <f>(Gradesheet!B432)</f>
        <v>0</v>
      </c>
      <c r="D404" s="92">
        <f>IF(Outline!$C$14&gt;0,Gradesheet!AD432,Gradesheet!AK432)</f>
        <v>0</v>
      </c>
      <c r="E404" s="145">
        <f>IF(Outline!$C$14&gt;0,Gradesheet!L432,Gradesheet!AR432)</f>
        <v>0</v>
      </c>
      <c r="F404" s="145">
        <f>IF(Outline!$C$14&gt;0,Gradesheet!AZ432,"NA")</f>
        <v>0</v>
      </c>
      <c r="G404" s="145">
        <f>IF(Outline!$C$14&gt;0,Gradesheet!U402,Gradesheet!AY402)</f>
        <v>0</v>
      </c>
      <c r="H404" s="146">
        <f t="shared" si="7"/>
        <v>0</v>
      </c>
    </row>
    <row r="405" spans="2:8" hidden="1" x14ac:dyDescent="0.25">
      <c r="B405" s="90">
        <f>Gradesheet!A433</f>
        <v>38</v>
      </c>
      <c r="C405" s="91">
        <f>(Gradesheet!B433)</f>
        <v>0</v>
      </c>
      <c r="D405" s="92">
        <f>IF(Outline!$C$14&gt;0,Gradesheet!AD433,Gradesheet!AK433)</f>
        <v>0</v>
      </c>
      <c r="E405" s="145">
        <f>IF(Outline!$C$14&gt;0,Gradesheet!L433,Gradesheet!AR433)</f>
        <v>0</v>
      </c>
      <c r="F405" s="145">
        <f>IF(Outline!$C$14&gt;0,Gradesheet!AZ433,"NA")</f>
        <v>0</v>
      </c>
      <c r="G405" s="145">
        <f>IF(Outline!$C$14&gt;0,Gradesheet!U403,Gradesheet!AY403)</f>
        <v>0</v>
      </c>
      <c r="H405" s="146">
        <f t="shared" si="7"/>
        <v>0</v>
      </c>
    </row>
    <row r="406" spans="2:8" hidden="1" x14ac:dyDescent="0.25">
      <c r="B406" s="90">
        <f>Gradesheet!A434</f>
        <v>39</v>
      </c>
      <c r="C406" s="91">
        <f>(Gradesheet!B434)</f>
        <v>0</v>
      </c>
      <c r="D406" s="92">
        <f>IF(Outline!$C$14&gt;0,Gradesheet!AD434,Gradesheet!AK434)</f>
        <v>0</v>
      </c>
      <c r="E406" s="145">
        <f>IF(Outline!$C$14&gt;0,Gradesheet!L434,Gradesheet!AR434)</f>
        <v>0</v>
      </c>
      <c r="F406" s="145">
        <f>IF(Outline!$C$14&gt;0,Gradesheet!AZ434,"NA")</f>
        <v>0</v>
      </c>
      <c r="G406" s="145">
        <f>IF(Outline!$C$14&gt;0,Gradesheet!U404,Gradesheet!AY404)</f>
        <v>0</v>
      </c>
      <c r="H406" s="146">
        <f t="shared" si="7"/>
        <v>0</v>
      </c>
    </row>
    <row r="407" spans="2:8" hidden="1" x14ac:dyDescent="0.25">
      <c r="B407" s="90">
        <f>Gradesheet!A435</f>
        <v>40</v>
      </c>
      <c r="C407" s="91">
        <f>(Gradesheet!B435)</f>
        <v>0</v>
      </c>
      <c r="D407" s="92">
        <f>IF(Outline!$C$14&gt;0,Gradesheet!AD435,Gradesheet!AK435)</f>
        <v>0</v>
      </c>
      <c r="E407" s="145">
        <f>IF(Outline!$C$14&gt;0,Gradesheet!L435,Gradesheet!AR435)</f>
        <v>0</v>
      </c>
      <c r="F407" s="145">
        <f>IF(Outline!$C$14&gt;0,Gradesheet!AZ435,"NA")</f>
        <v>0</v>
      </c>
      <c r="G407" s="145">
        <f>IF(Outline!$C$14&gt;0,Gradesheet!U405,Gradesheet!AY405)</f>
        <v>0</v>
      </c>
      <c r="H407" s="146">
        <f t="shared" si="7"/>
        <v>0</v>
      </c>
    </row>
    <row r="408" spans="2:8" hidden="1" x14ac:dyDescent="0.25">
      <c r="B408" s="90">
        <f>Gradesheet!A436</f>
        <v>41</v>
      </c>
      <c r="C408" s="91">
        <f>(Gradesheet!B436)</f>
        <v>0</v>
      </c>
      <c r="D408" s="92">
        <f>IF(Outline!$C$14&gt;0,Gradesheet!AD436,Gradesheet!AK436)</f>
        <v>0</v>
      </c>
      <c r="E408" s="145">
        <f>IF(Outline!$C$14&gt;0,Gradesheet!L436,Gradesheet!AR436)</f>
        <v>0</v>
      </c>
      <c r="F408" s="145">
        <f>IF(Outline!$C$14&gt;0,Gradesheet!AZ436,"NA")</f>
        <v>0</v>
      </c>
      <c r="G408" s="145">
        <f>IF(Outline!$C$14&gt;0,Gradesheet!U406,Gradesheet!AY406)</f>
        <v>0</v>
      </c>
      <c r="H408" s="146">
        <f t="shared" si="7"/>
        <v>0</v>
      </c>
    </row>
    <row r="409" spans="2:8" hidden="1" x14ac:dyDescent="0.25">
      <c r="B409" s="90">
        <f>Gradesheet!A437</f>
        <v>42</v>
      </c>
      <c r="C409" s="91">
        <f>(Gradesheet!B437)</f>
        <v>0</v>
      </c>
      <c r="D409" s="92">
        <f>IF(Outline!$C$14&gt;0,Gradesheet!AD437,Gradesheet!AK437)</f>
        <v>0</v>
      </c>
      <c r="E409" s="145">
        <f>IF(Outline!$C$14&gt;0,Gradesheet!L437,Gradesheet!AR437)</f>
        <v>0</v>
      </c>
      <c r="F409" s="145">
        <f>IF(Outline!$C$14&gt;0,Gradesheet!AZ437,"NA")</f>
        <v>0</v>
      </c>
      <c r="G409" s="145">
        <f>IF(Outline!$C$14&gt;0,Gradesheet!U407,Gradesheet!AY407)</f>
        <v>0</v>
      </c>
      <c r="H409" s="146">
        <f t="shared" si="7"/>
        <v>0</v>
      </c>
    </row>
    <row r="410" spans="2:8" hidden="1" x14ac:dyDescent="0.25">
      <c r="B410" s="90">
        <f>Gradesheet!A438</f>
        <v>0</v>
      </c>
      <c r="C410" s="91">
        <f>(Gradesheet!B438)</f>
        <v>0</v>
      </c>
      <c r="D410" s="92">
        <f>IF(Outline!$C$14&gt;0,Gradesheet!AD438,Gradesheet!AK438)</f>
        <v>0</v>
      </c>
      <c r="E410" s="145">
        <f>IF(Outline!$C$14&gt;0,Gradesheet!L438,Gradesheet!AR438)</f>
        <v>0</v>
      </c>
      <c r="F410" s="145">
        <f>IF(Outline!$C$14&gt;0,Gradesheet!AZ438,"NA")</f>
        <v>0</v>
      </c>
      <c r="G410" s="145">
        <f>IF(Outline!$C$14&gt;0,Gradesheet!U408,Gradesheet!AY408)</f>
        <v>0</v>
      </c>
      <c r="H410" s="146">
        <f t="shared" si="7"/>
        <v>0</v>
      </c>
    </row>
    <row r="411" spans="2:8" hidden="1" x14ac:dyDescent="0.25">
      <c r="B411" s="90">
        <f>Gradesheet!A439</f>
        <v>1</v>
      </c>
      <c r="C411" s="91">
        <f>(Gradesheet!B439)</f>
        <v>0</v>
      </c>
      <c r="D411" s="92">
        <f>IF(Outline!$C$14&gt;0,Gradesheet!AD439,Gradesheet!AK439)</f>
        <v>0</v>
      </c>
      <c r="E411" s="145">
        <f>IF(Outline!$C$14&gt;0,Gradesheet!L439,Gradesheet!AR439)</f>
        <v>0</v>
      </c>
      <c r="F411" s="145">
        <f>IF(Outline!$C$14&gt;0,Gradesheet!AZ439,"NA")</f>
        <v>0</v>
      </c>
      <c r="G411" s="145">
        <f>IF(Outline!$C$14&gt;0,Gradesheet!U409,Gradesheet!AY409)</f>
        <v>0</v>
      </c>
      <c r="H411" s="146">
        <f t="shared" si="7"/>
        <v>0</v>
      </c>
    </row>
    <row r="412" spans="2:8" hidden="1" x14ac:dyDescent="0.25">
      <c r="B412" s="90">
        <f>Gradesheet!A440</f>
        <v>2</v>
      </c>
      <c r="C412" s="91">
        <f>(Gradesheet!B440)</f>
        <v>0</v>
      </c>
      <c r="D412" s="92">
        <f>IF(Outline!$C$14&gt;0,Gradesheet!AD440,Gradesheet!AK440)</f>
        <v>0</v>
      </c>
      <c r="E412" s="145">
        <f>IF(Outline!$C$14&gt;0,Gradesheet!L440,Gradesheet!AR440)</f>
        <v>0</v>
      </c>
      <c r="F412" s="145">
        <f>IF(Outline!$C$14&gt;0,Gradesheet!AZ440,"NA")</f>
        <v>0</v>
      </c>
      <c r="G412" s="145">
        <f>IF(Outline!$C$14&gt;0,Gradesheet!U410,Gradesheet!AY410)</f>
        <v>0</v>
      </c>
      <c r="H412" s="146">
        <f t="shared" si="7"/>
        <v>0</v>
      </c>
    </row>
    <row r="413" spans="2:8" hidden="1" x14ac:dyDescent="0.25">
      <c r="B413" s="90">
        <f>Gradesheet!A441</f>
        <v>3</v>
      </c>
      <c r="C413" s="91">
        <f>(Gradesheet!B441)</f>
        <v>0</v>
      </c>
      <c r="D413" s="92">
        <f>IF(Outline!$C$14&gt;0,Gradesheet!AD441,Gradesheet!AK441)</f>
        <v>0</v>
      </c>
      <c r="E413" s="145">
        <f>IF(Outline!$C$14&gt;0,Gradesheet!L441,Gradesheet!AR441)</f>
        <v>0</v>
      </c>
      <c r="F413" s="145">
        <f>IF(Outline!$C$14&gt;0,Gradesheet!AZ441,"NA")</f>
        <v>0</v>
      </c>
      <c r="G413" s="145">
        <f>IF(Outline!$C$14&gt;0,Gradesheet!U411,Gradesheet!AY411)</f>
        <v>0</v>
      </c>
      <c r="H413" s="146">
        <f t="shared" si="7"/>
        <v>0</v>
      </c>
    </row>
    <row r="414" spans="2:8" hidden="1" x14ac:dyDescent="0.25">
      <c r="B414" s="90">
        <f>Gradesheet!A442</f>
        <v>4</v>
      </c>
      <c r="C414" s="91">
        <f>(Gradesheet!B442)</f>
        <v>0</v>
      </c>
      <c r="D414" s="92">
        <f>IF(Outline!$C$14&gt;0,Gradesheet!AD442,Gradesheet!AK442)</f>
        <v>0</v>
      </c>
      <c r="E414" s="145">
        <f>IF(Outline!$C$14&gt;0,Gradesheet!L442,Gradesheet!AR442)</f>
        <v>0</v>
      </c>
      <c r="F414" s="145">
        <f>IF(Outline!$C$14&gt;0,Gradesheet!AZ442,"NA")</f>
        <v>0</v>
      </c>
      <c r="G414" s="145">
        <f>IF(Outline!$C$14&gt;0,Gradesheet!U412,Gradesheet!AY412)</f>
        <v>0</v>
      </c>
      <c r="H414" s="146">
        <f t="shared" si="7"/>
        <v>0</v>
      </c>
    </row>
    <row r="415" spans="2:8" hidden="1" x14ac:dyDescent="0.25">
      <c r="B415" s="90">
        <f>Gradesheet!A443</f>
        <v>5</v>
      </c>
      <c r="C415" s="91">
        <f>(Gradesheet!B443)</f>
        <v>0</v>
      </c>
      <c r="D415" s="92">
        <f>IF(Outline!$C$14&gt;0,Gradesheet!AD443,Gradesheet!AK443)</f>
        <v>0</v>
      </c>
      <c r="E415" s="145">
        <f>IF(Outline!$C$14&gt;0,Gradesheet!L443,Gradesheet!AR443)</f>
        <v>0</v>
      </c>
      <c r="F415" s="145">
        <f>IF(Outline!$C$14&gt;0,Gradesheet!AZ443,"NA")</f>
        <v>0</v>
      </c>
      <c r="G415" s="145">
        <f>IF(Outline!$C$14&gt;0,Gradesheet!U413,Gradesheet!AY413)</f>
        <v>0</v>
      </c>
      <c r="H415" s="146">
        <f t="shared" si="7"/>
        <v>0</v>
      </c>
    </row>
    <row r="416" spans="2:8" hidden="1" x14ac:dyDescent="0.25">
      <c r="B416" s="90">
        <f>Gradesheet!A444</f>
        <v>6</v>
      </c>
      <c r="C416" s="91">
        <f>(Gradesheet!B444)</f>
        <v>0</v>
      </c>
      <c r="D416" s="92">
        <f>IF(Outline!$C$14&gt;0,Gradesheet!AD444,Gradesheet!AK444)</f>
        <v>0</v>
      </c>
      <c r="E416" s="145">
        <f>IF(Outline!$C$14&gt;0,Gradesheet!L444,Gradesheet!AR444)</f>
        <v>0</v>
      </c>
      <c r="F416" s="145">
        <f>IF(Outline!$C$14&gt;0,Gradesheet!AZ444,"NA")</f>
        <v>0</v>
      </c>
      <c r="G416" s="145">
        <f>IF(Outline!$C$14&gt;0,Gradesheet!U414,Gradesheet!AY414)</f>
        <v>0</v>
      </c>
      <c r="H416" s="146">
        <f t="shared" si="7"/>
        <v>0</v>
      </c>
    </row>
    <row r="417" spans="2:8" hidden="1" x14ac:dyDescent="0.25">
      <c r="B417" s="90">
        <f>Gradesheet!A445</f>
        <v>7</v>
      </c>
      <c r="C417" s="91">
        <f>(Gradesheet!B445)</f>
        <v>0</v>
      </c>
      <c r="D417" s="92">
        <f>IF(Outline!$C$14&gt;0,Gradesheet!AD445,Gradesheet!AK445)</f>
        <v>0</v>
      </c>
      <c r="E417" s="145">
        <f>IF(Outline!$C$14&gt;0,Gradesheet!L445,Gradesheet!AR445)</f>
        <v>0</v>
      </c>
      <c r="F417" s="145">
        <f>IF(Outline!$C$14&gt;0,Gradesheet!AZ445,"NA")</f>
        <v>0</v>
      </c>
      <c r="G417" s="145">
        <f>IF(Outline!$C$14&gt;0,Gradesheet!U415,Gradesheet!AY415)</f>
        <v>0</v>
      </c>
      <c r="H417" s="146">
        <f t="shared" si="7"/>
        <v>0</v>
      </c>
    </row>
    <row r="418" spans="2:8" hidden="1" x14ac:dyDescent="0.25">
      <c r="B418" s="90">
        <f>Gradesheet!A446</f>
        <v>8</v>
      </c>
      <c r="C418" s="91">
        <f>(Gradesheet!B446)</f>
        <v>0</v>
      </c>
      <c r="D418" s="92">
        <f>IF(Outline!$C$14&gt;0,Gradesheet!AD446,Gradesheet!AK446)</f>
        <v>0</v>
      </c>
      <c r="E418" s="145">
        <f>IF(Outline!$C$14&gt;0,Gradesheet!L446,Gradesheet!AR446)</f>
        <v>0</v>
      </c>
      <c r="F418" s="145">
        <f>IF(Outline!$C$14&gt;0,Gradesheet!AZ446,"NA")</f>
        <v>0</v>
      </c>
      <c r="G418" s="145">
        <f>IF(Outline!$C$14&gt;0,Gradesheet!U416,Gradesheet!AY416)</f>
        <v>0</v>
      </c>
      <c r="H418" s="146">
        <f t="shared" si="7"/>
        <v>0</v>
      </c>
    </row>
    <row r="419" spans="2:8" hidden="1" x14ac:dyDescent="0.25">
      <c r="B419" s="90">
        <f>Gradesheet!A447</f>
        <v>9</v>
      </c>
      <c r="C419" s="91">
        <f>(Gradesheet!B447)</f>
        <v>0</v>
      </c>
      <c r="D419" s="92">
        <f>IF(Outline!$C$14&gt;0,Gradesheet!AD447,Gradesheet!AK447)</f>
        <v>0</v>
      </c>
      <c r="E419" s="145">
        <f>IF(Outline!$C$14&gt;0,Gradesheet!L447,Gradesheet!AR447)</f>
        <v>0</v>
      </c>
      <c r="F419" s="145">
        <f>IF(Outline!$C$14&gt;0,Gradesheet!AZ447,"NA")</f>
        <v>0</v>
      </c>
      <c r="G419" s="145">
        <f>IF(Outline!$C$14&gt;0,Gradesheet!U417,Gradesheet!AY417)</f>
        <v>0</v>
      </c>
      <c r="H419" s="146">
        <f t="shared" si="7"/>
        <v>0</v>
      </c>
    </row>
    <row r="420" spans="2:8" hidden="1" x14ac:dyDescent="0.25">
      <c r="B420" s="90">
        <f>Gradesheet!A448</f>
        <v>10</v>
      </c>
      <c r="C420" s="91">
        <f>(Gradesheet!B448)</f>
        <v>0</v>
      </c>
      <c r="D420" s="92">
        <f>IF(Outline!$C$14&gt;0,Gradesheet!AD448,Gradesheet!AK448)</f>
        <v>0</v>
      </c>
      <c r="E420" s="145">
        <f>IF(Outline!$C$14&gt;0,Gradesheet!L448,Gradesheet!AR448)</f>
        <v>0</v>
      </c>
      <c r="F420" s="145">
        <f>IF(Outline!$C$14&gt;0,Gradesheet!AZ448,"NA")</f>
        <v>0</v>
      </c>
      <c r="G420" s="145">
        <f>IF(Outline!$C$14&gt;0,Gradesheet!U418,Gradesheet!AY418)</f>
        <v>0</v>
      </c>
      <c r="H420" s="146">
        <f t="shared" si="7"/>
        <v>0</v>
      </c>
    </row>
    <row r="421" spans="2:8" hidden="1" x14ac:dyDescent="0.25">
      <c r="B421" s="90">
        <f>Gradesheet!A449</f>
        <v>11</v>
      </c>
      <c r="C421" s="91">
        <f>(Gradesheet!B449)</f>
        <v>0</v>
      </c>
      <c r="D421" s="92">
        <f>IF(Outline!$C$14&gt;0,Gradesheet!AD449,Gradesheet!AK449)</f>
        <v>0</v>
      </c>
      <c r="E421" s="145">
        <f>IF(Outline!$C$14&gt;0,Gradesheet!L449,Gradesheet!AR449)</f>
        <v>0</v>
      </c>
      <c r="F421" s="145">
        <f>IF(Outline!$C$14&gt;0,Gradesheet!AZ449,"NA")</f>
        <v>0</v>
      </c>
      <c r="G421" s="145">
        <f>IF(Outline!$C$14&gt;0,Gradesheet!U419,Gradesheet!AY419)</f>
        <v>0</v>
      </c>
      <c r="H421" s="146">
        <f t="shared" si="7"/>
        <v>0</v>
      </c>
    </row>
    <row r="422" spans="2:8" hidden="1" x14ac:dyDescent="0.25">
      <c r="B422" s="90">
        <f>Gradesheet!A450</f>
        <v>12</v>
      </c>
      <c r="C422" s="91">
        <f>(Gradesheet!B450)</f>
        <v>0</v>
      </c>
      <c r="D422" s="92">
        <f>IF(Outline!$C$14&gt;0,Gradesheet!AD450,Gradesheet!AK450)</f>
        <v>0</v>
      </c>
      <c r="E422" s="145">
        <f>IF(Outline!$C$14&gt;0,Gradesheet!L450,Gradesheet!AR450)</f>
        <v>0</v>
      </c>
      <c r="F422" s="145">
        <f>IF(Outline!$C$14&gt;0,Gradesheet!AZ450,"NA")</f>
        <v>0</v>
      </c>
      <c r="G422" s="145">
        <f>IF(Outline!$C$14&gt;0,Gradesheet!U420,Gradesheet!AY420)</f>
        <v>0</v>
      </c>
      <c r="H422" s="146">
        <f t="shared" si="7"/>
        <v>0</v>
      </c>
    </row>
    <row r="423" spans="2:8" hidden="1" x14ac:dyDescent="0.25">
      <c r="B423" s="90">
        <f>Gradesheet!A451</f>
        <v>13</v>
      </c>
      <c r="C423" s="91">
        <f>(Gradesheet!B451)</f>
        <v>0</v>
      </c>
      <c r="D423" s="92">
        <f>IF(Outline!$C$14&gt;0,Gradesheet!AD451,Gradesheet!AK451)</f>
        <v>0</v>
      </c>
      <c r="E423" s="145">
        <f>IF(Outline!$C$14&gt;0,Gradesheet!L451,Gradesheet!AR451)</f>
        <v>0</v>
      </c>
      <c r="F423" s="145">
        <f>IF(Outline!$C$14&gt;0,Gradesheet!AZ451,"NA")</f>
        <v>0</v>
      </c>
      <c r="G423" s="145">
        <f>IF(Outline!$C$14&gt;0,Gradesheet!U421,Gradesheet!AY421)</f>
        <v>0</v>
      </c>
      <c r="H423" s="146">
        <f t="shared" si="7"/>
        <v>0</v>
      </c>
    </row>
    <row r="424" spans="2:8" hidden="1" x14ac:dyDescent="0.25">
      <c r="B424" s="90">
        <f>Gradesheet!A452</f>
        <v>14</v>
      </c>
      <c r="C424" s="91">
        <f>(Gradesheet!B452)</f>
        <v>0</v>
      </c>
      <c r="D424" s="92">
        <f>IF(Outline!$C$14&gt;0,Gradesheet!AD452,Gradesheet!AK452)</f>
        <v>0</v>
      </c>
      <c r="E424" s="145">
        <f>IF(Outline!$C$14&gt;0,Gradesheet!L452,Gradesheet!AR452)</f>
        <v>0</v>
      </c>
      <c r="F424" s="145">
        <f>IF(Outline!$C$14&gt;0,Gradesheet!AZ452,"NA")</f>
        <v>0</v>
      </c>
      <c r="G424" s="145">
        <f>IF(Outline!$C$14&gt;0,Gradesheet!U422,Gradesheet!AY422)</f>
        <v>0</v>
      </c>
      <c r="H424" s="146">
        <f t="shared" si="7"/>
        <v>0</v>
      </c>
    </row>
    <row r="425" spans="2:8" hidden="1" x14ac:dyDescent="0.25">
      <c r="B425" s="90">
        <f>Gradesheet!A453</f>
        <v>15</v>
      </c>
      <c r="C425" s="91">
        <f>(Gradesheet!B453)</f>
        <v>0</v>
      </c>
      <c r="D425" s="92">
        <f>IF(Outline!$C$14&gt;0,Gradesheet!AD453,Gradesheet!AK453)</f>
        <v>0</v>
      </c>
      <c r="E425" s="145">
        <f>IF(Outline!$C$14&gt;0,Gradesheet!L453,Gradesheet!AR453)</f>
        <v>0</v>
      </c>
      <c r="F425" s="145">
        <f>IF(Outline!$C$14&gt;0,Gradesheet!AZ453,"NA")</f>
        <v>0</v>
      </c>
      <c r="G425" s="145">
        <f>IF(Outline!$C$14&gt;0,Gradesheet!U423,Gradesheet!AY423)</f>
        <v>0</v>
      </c>
      <c r="H425" s="146">
        <f t="shared" si="7"/>
        <v>0</v>
      </c>
    </row>
    <row r="426" spans="2:8" hidden="1" x14ac:dyDescent="0.25">
      <c r="B426" s="90">
        <f>Gradesheet!A454</f>
        <v>16</v>
      </c>
      <c r="C426" s="91">
        <f>(Gradesheet!B454)</f>
        <v>0</v>
      </c>
      <c r="D426" s="92">
        <f>IF(Outline!$C$14&gt;0,Gradesheet!AD454,Gradesheet!AK454)</f>
        <v>0</v>
      </c>
      <c r="E426" s="145">
        <f>IF(Outline!$C$14&gt;0,Gradesheet!L454,Gradesheet!AR454)</f>
        <v>0</v>
      </c>
      <c r="F426" s="145">
        <f>IF(Outline!$C$14&gt;0,Gradesheet!AZ454,"NA")</f>
        <v>0</v>
      </c>
      <c r="G426" s="145">
        <f>IF(Outline!$C$14&gt;0,Gradesheet!U424,Gradesheet!AY424)</f>
        <v>0</v>
      </c>
      <c r="H426" s="146">
        <f t="shared" si="7"/>
        <v>0</v>
      </c>
    </row>
    <row r="427" spans="2:8" hidden="1" x14ac:dyDescent="0.25">
      <c r="B427" s="90">
        <f>Gradesheet!A455</f>
        <v>17</v>
      </c>
      <c r="C427" s="91">
        <f>(Gradesheet!B455)</f>
        <v>0</v>
      </c>
      <c r="D427" s="92">
        <f>IF(Outline!$C$14&gt;0,Gradesheet!AD455,Gradesheet!AK455)</f>
        <v>0</v>
      </c>
      <c r="E427" s="145">
        <f>IF(Outline!$C$14&gt;0,Gradesheet!L455,Gradesheet!AR455)</f>
        <v>0</v>
      </c>
      <c r="F427" s="145">
        <f>IF(Outline!$C$14&gt;0,Gradesheet!AZ455,"NA")</f>
        <v>0</v>
      </c>
      <c r="G427" s="145">
        <f>IF(Outline!$C$14&gt;0,Gradesheet!U425,Gradesheet!AY425)</f>
        <v>0</v>
      </c>
      <c r="H427" s="146">
        <f t="shared" si="7"/>
        <v>0</v>
      </c>
    </row>
    <row r="428" spans="2:8" hidden="1" x14ac:dyDescent="0.25">
      <c r="B428" s="90">
        <f>Gradesheet!A456</f>
        <v>18</v>
      </c>
      <c r="C428" s="91">
        <f>(Gradesheet!B456)</f>
        <v>0</v>
      </c>
      <c r="D428" s="92">
        <f>IF(Outline!$C$14&gt;0,Gradesheet!AD456,Gradesheet!AK456)</f>
        <v>0</v>
      </c>
      <c r="E428" s="145">
        <f>IF(Outline!$C$14&gt;0,Gradesheet!L456,Gradesheet!AR456)</f>
        <v>0</v>
      </c>
      <c r="F428" s="145">
        <f>IF(Outline!$C$14&gt;0,Gradesheet!AZ456,"NA")</f>
        <v>0</v>
      </c>
      <c r="G428" s="145">
        <f>IF(Outline!$C$14&gt;0,Gradesheet!U426,Gradesheet!AY426)</f>
        <v>0</v>
      </c>
      <c r="H428" s="146">
        <f t="shared" si="7"/>
        <v>0</v>
      </c>
    </row>
    <row r="429" spans="2:8" hidden="1" x14ac:dyDescent="0.25">
      <c r="B429" s="90">
        <f>Gradesheet!A457</f>
        <v>19</v>
      </c>
      <c r="C429" s="91">
        <f>(Gradesheet!B457)</f>
        <v>0</v>
      </c>
      <c r="D429" s="92">
        <f>IF(Outline!$C$14&gt;0,Gradesheet!AD457,Gradesheet!AK457)</f>
        <v>0</v>
      </c>
      <c r="E429" s="145">
        <f>IF(Outline!$C$14&gt;0,Gradesheet!L457,Gradesheet!AR457)</f>
        <v>0</v>
      </c>
      <c r="F429" s="145">
        <f>IF(Outline!$C$14&gt;0,Gradesheet!AZ457,"NA")</f>
        <v>0</v>
      </c>
      <c r="G429" s="145">
        <f>IF(Outline!$C$14&gt;0,Gradesheet!U427,Gradesheet!AY427)</f>
        <v>0</v>
      </c>
      <c r="H429" s="146">
        <f t="shared" si="7"/>
        <v>0</v>
      </c>
    </row>
    <row r="430" spans="2:8" hidden="1" x14ac:dyDescent="0.25">
      <c r="B430" s="90">
        <f>Gradesheet!A458</f>
        <v>20</v>
      </c>
      <c r="C430" s="91">
        <f>(Gradesheet!B458)</f>
        <v>0</v>
      </c>
      <c r="D430" s="92">
        <f>IF(Outline!$C$14&gt;0,Gradesheet!AD458,Gradesheet!AK458)</f>
        <v>0</v>
      </c>
      <c r="E430" s="145">
        <f>IF(Outline!$C$14&gt;0,Gradesheet!L458,Gradesheet!AR458)</f>
        <v>0</v>
      </c>
      <c r="F430" s="145">
        <f>IF(Outline!$C$14&gt;0,Gradesheet!AZ458,"NA")</f>
        <v>0</v>
      </c>
      <c r="G430" s="145">
        <f>IF(Outline!$C$14&gt;0,Gradesheet!U428,Gradesheet!AY428)</f>
        <v>0</v>
      </c>
      <c r="H430" s="146">
        <f t="shared" si="7"/>
        <v>0</v>
      </c>
    </row>
    <row r="431" spans="2:8" hidden="1" x14ac:dyDescent="0.25">
      <c r="B431" s="90">
        <f>Gradesheet!A459</f>
        <v>21</v>
      </c>
      <c r="C431" s="91">
        <f>(Gradesheet!B459)</f>
        <v>0</v>
      </c>
      <c r="D431" s="92">
        <f>IF(Outline!$C$14&gt;0,Gradesheet!AD459,Gradesheet!AK459)</f>
        <v>0</v>
      </c>
      <c r="E431" s="145">
        <f>IF(Outline!$C$14&gt;0,Gradesheet!L459,Gradesheet!AR459)</f>
        <v>0</v>
      </c>
      <c r="F431" s="145">
        <f>IF(Outline!$C$14&gt;0,Gradesheet!AZ459,"NA")</f>
        <v>0</v>
      </c>
      <c r="G431" s="145">
        <f>IF(Outline!$C$14&gt;0,Gradesheet!U429,Gradesheet!AY429)</f>
        <v>0</v>
      </c>
      <c r="H431" s="146">
        <f t="shared" si="7"/>
        <v>0</v>
      </c>
    </row>
    <row r="432" spans="2:8" hidden="1" x14ac:dyDescent="0.25">
      <c r="B432" s="90">
        <f>Gradesheet!A460</f>
        <v>22</v>
      </c>
      <c r="C432" s="91">
        <f>(Gradesheet!B460)</f>
        <v>0</v>
      </c>
      <c r="D432" s="92">
        <f>IF(Outline!$C$14&gt;0,Gradesheet!AD460,Gradesheet!AK460)</f>
        <v>0</v>
      </c>
      <c r="E432" s="145">
        <f>IF(Outline!$C$14&gt;0,Gradesheet!L460,Gradesheet!AR460)</f>
        <v>0</v>
      </c>
      <c r="F432" s="145">
        <f>IF(Outline!$C$14&gt;0,Gradesheet!AZ460,"NA")</f>
        <v>0</v>
      </c>
      <c r="G432" s="145">
        <f>IF(Outline!$C$14&gt;0,Gradesheet!U430,Gradesheet!AY430)</f>
        <v>0</v>
      </c>
      <c r="H432" s="146">
        <f t="shared" si="7"/>
        <v>0</v>
      </c>
    </row>
    <row r="433" spans="2:8" hidden="1" x14ac:dyDescent="0.25">
      <c r="B433" s="90">
        <f>Gradesheet!A461</f>
        <v>23</v>
      </c>
      <c r="C433" s="91">
        <f>(Gradesheet!B461)</f>
        <v>0</v>
      </c>
      <c r="D433" s="92">
        <f>IF(Outline!$C$14&gt;0,Gradesheet!AD461,Gradesheet!AK461)</f>
        <v>0</v>
      </c>
      <c r="E433" s="145">
        <f>IF(Outline!$C$14&gt;0,Gradesheet!L461,Gradesheet!AR461)</f>
        <v>0</v>
      </c>
      <c r="F433" s="145">
        <f>IF(Outline!$C$14&gt;0,Gradesheet!AZ461,"NA")</f>
        <v>0</v>
      </c>
      <c r="G433" s="145">
        <f>IF(Outline!$C$14&gt;0,Gradesheet!U431,Gradesheet!AY431)</f>
        <v>0</v>
      </c>
      <c r="H433" s="146">
        <f t="shared" si="7"/>
        <v>0</v>
      </c>
    </row>
    <row r="434" spans="2:8" hidden="1" x14ac:dyDescent="0.25">
      <c r="B434" s="90">
        <f>Gradesheet!A462</f>
        <v>24</v>
      </c>
      <c r="C434" s="91">
        <f>(Gradesheet!B462)</f>
        <v>0</v>
      </c>
      <c r="D434" s="92">
        <f>IF(Outline!$C$14&gt;0,Gradesheet!AD462,Gradesheet!AK462)</f>
        <v>0</v>
      </c>
      <c r="E434" s="145">
        <f>IF(Outline!$C$14&gt;0,Gradesheet!L462,Gradesheet!AR462)</f>
        <v>0</v>
      </c>
      <c r="F434" s="145">
        <f>IF(Outline!$C$14&gt;0,Gradesheet!AZ462,"NA")</f>
        <v>0</v>
      </c>
      <c r="G434" s="145">
        <f>IF(Outline!$C$14&gt;0,Gradesheet!U432,Gradesheet!AY432)</f>
        <v>0</v>
      </c>
      <c r="H434" s="146">
        <f t="shared" si="7"/>
        <v>0</v>
      </c>
    </row>
    <row r="435" spans="2:8" hidden="1" x14ac:dyDescent="0.25">
      <c r="B435" s="90">
        <f>Gradesheet!A463</f>
        <v>25</v>
      </c>
      <c r="C435" s="91">
        <f>(Gradesheet!B463)</f>
        <v>0</v>
      </c>
      <c r="D435" s="92">
        <f>IF(Outline!$C$14&gt;0,Gradesheet!AD463,Gradesheet!AK463)</f>
        <v>0</v>
      </c>
      <c r="E435" s="145">
        <f>IF(Outline!$C$14&gt;0,Gradesheet!L463,Gradesheet!AR463)</f>
        <v>0</v>
      </c>
      <c r="F435" s="145">
        <f>IF(Outline!$C$14&gt;0,Gradesheet!AZ463,"NA")</f>
        <v>0</v>
      </c>
      <c r="G435" s="145">
        <f>IF(Outline!$C$14&gt;0,Gradesheet!U433,Gradesheet!AY433)</f>
        <v>0</v>
      </c>
      <c r="H435" s="146">
        <f t="shared" si="7"/>
        <v>0</v>
      </c>
    </row>
    <row r="436" spans="2:8" hidden="1" x14ac:dyDescent="0.25">
      <c r="B436" s="90">
        <f>Gradesheet!A464</f>
        <v>26</v>
      </c>
      <c r="C436" s="91">
        <f>(Gradesheet!B464)</f>
        <v>0</v>
      </c>
      <c r="D436" s="92">
        <f>IF(Outline!$C$14&gt;0,Gradesheet!AD464,Gradesheet!AK464)</f>
        <v>0</v>
      </c>
      <c r="E436" s="145">
        <f>IF(Outline!$C$14&gt;0,Gradesheet!L464,Gradesheet!AR464)</f>
        <v>0</v>
      </c>
      <c r="F436" s="145">
        <f>IF(Outline!$C$14&gt;0,Gradesheet!AZ464,"NA")</f>
        <v>0</v>
      </c>
      <c r="G436" s="145">
        <f>IF(Outline!$C$14&gt;0,Gradesheet!U434,Gradesheet!AY434)</f>
        <v>0</v>
      </c>
      <c r="H436" s="146">
        <f t="shared" si="7"/>
        <v>0</v>
      </c>
    </row>
    <row r="437" spans="2:8" hidden="1" x14ac:dyDescent="0.25">
      <c r="B437" s="90">
        <f>Gradesheet!A465</f>
        <v>27</v>
      </c>
      <c r="C437" s="91">
        <f>(Gradesheet!B465)</f>
        <v>0</v>
      </c>
      <c r="D437" s="92">
        <f>IF(Outline!$C$14&gt;0,Gradesheet!AD465,Gradesheet!AK465)</f>
        <v>0</v>
      </c>
      <c r="E437" s="145">
        <f>IF(Outline!$C$14&gt;0,Gradesheet!L465,Gradesheet!AR465)</f>
        <v>0</v>
      </c>
      <c r="F437" s="145">
        <f>IF(Outline!$C$14&gt;0,Gradesheet!AZ465,"NA")</f>
        <v>0</v>
      </c>
      <c r="G437" s="145">
        <f>IF(Outline!$C$14&gt;0,Gradesheet!U435,Gradesheet!AY435)</f>
        <v>0</v>
      </c>
      <c r="H437" s="146">
        <f t="shared" si="7"/>
        <v>0</v>
      </c>
    </row>
    <row r="438" spans="2:8" hidden="1" x14ac:dyDescent="0.25">
      <c r="B438" s="90">
        <f>Gradesheet!A466</f>
        <v>28</v>
      </c>
      <c r="C438" s="91">
        <f>(Gradesheet!B466)</f>
        <v>0</v>
      </c>
      <c r="D438" s="92">
        <f>IF(Outline!$C$14&gt;0,Gradesheet!AD466,Gradesheet!AK466)</f>
        <v>0</v>
      </c>
      <c r="E438" s="145">
        <f>IF(Outline!$C$14&gt;0,Gradesheet!L466,Gradesheet!AR466)</f>
        <v>0</v>
      </c>
      <c r="F438" s="145">
        <f>IF(Outline!$C$14&gt;0,Gradesheet!AZ466,"NA")</f>
        <v>0</v>
      </c>
      <c r="G438" s="145">
        <f>IF(Outline!$C$14&gt;0,Gradesheet!U436,Gradesheet!AY436)</f>
        <v>0</v>
      </c>
      <c r="H438" s="146">
        <f t="shared" si="7"/>
        <v>0</v>
      </c>
    </row>
    <row r="439" spans="2:8" hidden="1" x14ac:dyDescent="0.25">
      <c r="B439" s="90">
        <f>Gradesheet!A467</f>
        <v>29</v>
      </c>
      <c r="C439" s="91">
        <f>(Gradesheet!B467)</f>
        <v>0</v>
      </c>
      <c r="D439" s="92">
        <f>IF(Outline!$C$14&gt;0,Gradesheet!AD467,Gradesheet!AK467)</f>
        <v>0</v>
      </c>
      <c r="E439" s="145">
        <f>IF(Outline!$C$14&gt;0,Gradesheet!L467,Gradesheet!AR467)</f>
        <v>0</v>
      </c>
      <c r="F439" s="145">
        <f>IF(Outline!$C$14&gt;0,Gradesheet!AZ467,"NA")</f>
        <v>0</v>
      </c>
      <c r="G439" s="145">
        <f>IF(Outline!$C$14&gt;0,Gradesheet!U437,Gradesheet!AY437)</f>
        <v>0</v>
      </c>
      <c r="H439" s="146">
        <f t="shared" si="7"/>
        <v>0</v>
      </c>
    </row>
    <row r="440" spans="2:8" hidden="1" x14ac:dyDescent="0.25">
      <c r="B440" s="90">
        <f>Gradesheet!A468</f>
        <v>30</v>
      </c>
      <c r="C440" s="91">
        <f>(Gradesheet!B468)</f>
        <v>0</v>
      </c>
      <c r="D440" s="92">
        <f>IF(Outline!$C$14&gt;0,Gradesheet!AD468,Gradesheet!AK468)</f>
        <v>0</v>
      </c>
      <c r="E440" s="145">
        <f>IF(Outline!$C$14&gt;0,Gradesheet!L468,Gradesheet!AR468)</f>
        <v>0</v>
      </c>
      <c r="F440" s="145">
        <f>IF(Outline!$C$14&gt;0,Gradesheet!AZ468,"NA")</f>
        <v>0</v>
      </c>
      <c r="G440" s="145">
        <f>IF(Outline!$C$14&gt;0,Gradesheet!U438,Gradesheet!AY438)</f>
        <v>0</v>
      </c>
      <c r="H440" s="146">
        <f t="shared" si="7"/>
        <v>0</v>
      </c>
    </row>
    <row r="441" spans="2:8" hidden="1" x14ac:dyDescent="0.25">
      <c r="B441" s="90">
        <f>Gradesheet!A469</f>
        <v>31</v>
      </c>
      <c r="C441" s="91">
        <f>(Gradesheet!B469)</f>
        <v>0</v>
      </c>
      <c r="D441" s="92">
        <f>IF(Outline!$C$14&gt;0,Gradesheet!AD469,Gradesheet!AK469)</f>
        <v>0</v>
      </c>
      <c r="E441" s="145">
        <f>IF(Outline!$C$14&gt;0,Gradesheet!L469,Gradesheet!AR469)</f>
        <v>0</v>
      </c>
      <c r="F441" s="145">
        <f>IF(Outline!$C$14&gt;0,Gradesheet!AZ469,"NA")</f>
        <v>0</v>
      </c>
      <c r="G441" s="145">
        <f>IF(Outline!$C$14&gt;0,Gradesheet!U439,Gradesheet!AY439)</f>
        <v>0</v>
      </c>
      <c r="H441" s="146">
        <f t="shared" si="7"/>
        <v>0</v>
      </c>
    </row>
    <row r="442" spans="2:8" hidden="1" x14ac:dyDescent="0.25">
      <c r="B442" s="90">
        <f>Gradesheet!A470</f>
        <v>32</v>
      </c>
      <c r="C442" s="91">
        <f>(Gradesheet!B470)</f>
        <v>0</v>
      </c>
      <c r="D442" s="92">
        <f>IF(Outline!$C$14&gt;0,Gradesheet!AD470,Gradesheet!AK470)</f>
        <v>0</v>
      </c>
      <c r="E442" s="145">
        <f>IF(Outline!$C$14&gt;0,Gradesheet!L470,Gradesheet!AR470)</f>
        <v>0</v>
      </c>
      <c r="F442" s="145">
        <f>IF(Outline!$C$14&gt;0,Gradesheet!AZ470,"NA")</f>
        <v>0</v>
      </c>
      <c r="G442" s="145">
        <f>IF(Outline!$C$14&gt;0,Gradesheet!U440,Gradesheet!AY440)</f>
        <v>0</v>
      </c>
      <c r="H442" s="146">
        <f t="shared" si="7"/>
        <v>0</v>
      </c>
    </row>
    <row r="443" spans="2:8" hidden="1" x14ac:dyDescent="0.25">
      <c r="B443" s="90">
        <f>Gradesheet!A471</f>
        <v>33</v>
      </c>
      <c r="C443" s="91">
        <f>(Gradesheet!B471)</f>
        <v>0</v>
      </c>
      <c r="D443" s="92">
        <f>IF(Outline!$C$14&gt;0,Gradesheet!AD471,Gradesheet!AK471)</f>
        <v>0</v>
      </c>
      <c r="E443" s="145">
        <f>IF(Outline!$C$14&gt;0,Gradesheet!L471,Gradesheet!AR471)</f>
        <v>0</v>
      </c>
      <c r="F443" s="145">
        <f>IF(Outline!$C$14&gt;0,Gradesheet!AZ471,"NA")</f>
        <v>0</v>
      </c>
      <c r="G443" s="145">
        <f>IF(Outline!$C$14&gt;0,Gradesheet!U441,Gradesheet!AY441)</f>
        <v>0</v>
      </c>
      <c r="H443" s="146">
        <f t="shared" si="7"/>
        <v>0</v>
      </c>
    </row>
    <row r="444" spans="2:8" hidden="1" x14ac:dyDescent="0.25">
      <c r="B444" s="90">
        <f>Gradesheet!A472</f>
        <v>34</v>
      </c>
      <c r="C444" s="91">
        <f>(Gradesheet!B472)</f>
        <v>0</v>
      </c>
      <c r="D444" s="92">
        <f>IF(Outline!$C$14&gt;0,Gradesheet!AD472,Gradesheet!AK472)</f>
        <v>0</v>
      </c>
      <c r="E444" s="145">
        <f>IF(Outline!$C$14&gt;0,Gradesheet!L472,Gradesheet!AR472)</f>
        <v>0</v>
      </c>
      <c r="F444" s="145">
        <f>IF(Outline!$C$14&gt;0,Gradesheet!AZ472,"NA")</f>
        <v>0</v>
      </c>
      <c r="G444" s="145">
        <f>IF(Outline!$C$14&gt;0,Gradesheet!U442,Gradesheet!AY442)</f>
        <v>0</v>
      </c>
      <c r="H444" s="146">
        <f t="shared" si="7"/>
        <v>0</v>
      </c>
    </row>
    <row r="445" spans="2:8" hidden="1" x14ac:dyDescent="0.25">
      <c r="B445" s="90">
        <f>Gradesheet!A473</f>
        <v>35</v>
      </c>
      <c r="C445" s="91">
        <f>(Gradesheet!B473)</f>
        <v>0</v>
      </c>
      <c r="D445" s="92">
        <f>IF(Outline!$C$14&gt;0,Gradesheet!AD473,Gradesheet!AK473)</f>
        <v>0</v>
      </c>
      <c r="E445" s="145">
        <f>IF(Outline!$C$14&gt;0,Gradesheet!L473,Gradesheet!AR473)</f>
        <v>0</v>
      </c>
      <c r="F445" s="145">
        <f>IF(Outline!$C$14&gt;0,Gradesheet!AZ473,"NA")</f>
        <v>0</v>
      </c>
      <c r="G445" s="145">
        <f>IF(Outline!$C$14&gt;0,Gradesheet!U443,Gradesheet!AY443)</f>
        <v>0</v>
      </c>
      <c r="H445" s="146">
        <f t="shared" si="7"/>
        <v>0</v>
      </c>
    </row>
    <row r="446" spans="2:8" hidden="1" x14ac:dyDescent="0.25">
      <c r="B446" s="90">
        <f>Gradesheet!A474</f>
        <v>36</v>
      </c>
      <c r="C446" s="91">
        <f>(Gradesheet!B474)</f>
        <v>0</v>
      </c>
      <c r="D446" s="92">
        <f>IF(Outline!$C$14&gt;0,Gradesheet!AD474,Gradesheet!AK474)</f>
        <v>0</v>
      </c>
      <c r="E446" s="145">
        <f>IF(Outline!$C$14&gt;0,Gradesheet!L474,Gradesheet!AR474)</f>
        <v>0</v>
      </c>
      <c r="F446" s="145">
        <f>IF(Outline!$C$14&gt;0,Gradesheet!AZ474,"NA")</f>
        <v>0</v>
      </c>
      <c r="G446" s="145">
        <f>IF(Outline!$C$14&gt;0,Gradesheet!U444,Gradesheet!AY444)</f>
        <v>0</v>
      </c>
      <c r="H446" s="146">
        <f t="shared" si="7"/>
        <v>0</v>
      </c>
    </row>
    <row r="447" spans="2:8" hidden="1" x14ac:dyDescent="0.25">
      <c r="B447" s="90">
        <f>Gradesheet!A475</f>
        <v>37</v>
      </c>
      <c r="C447" s="91">
        <f>(Gradesheet!B475)</f>
        <v>0</v>
      </c>
      <c r="D447" s="92">
        <f>IF(Outline!$C$14&gt;0,Gradesheet!AD475,Gradesheet!AK475)</f>
        <v>0</v>
      </c>
      <c r="E447" s="145">
        <f>IF(Outline!$C$14&gt;0,Gradesheet!L475,Gradesheet!AR475)</f>
        <v>0</v>
      </c>
      <c r="F447" s="145">
        <f>IF(Outline!$C$14&gt;0,Gradesheet!AZ475,"NA")</f>
        <v>0</v>
      </c>
      <c r="G447" s="145">
        <f>IF(Outline!$C$14&gt;0,Gradesheet!U445,Gradesheet!AY445)</f>
        <v>0</v>
      </c>
      <c r="H447" s="146">
        <f t="shared" si="7"/>
        <v>0</v>
      </c>
    </row>
    <row r="448" spans="2:8" hidden="1" x14ac:dyDescent="0.25">
      <c r="B448" s="90">
        <f>Gradesheet!A476</f>
        <v>38</v>
      </c>
      <c r="C448" s="91">
        <f>(Gradesheet!B476)</f>
        <v>0</v>
      </c>
      <c r="D448" s="92">
        <f>IF(Outline!$C$14&gt;0,Gradesheet!AD476,Gradesheet!AK476)</f>
        <v>0</v>
      </c>
      <c r="E448" s="145">
        <f>IF(Outline!$C$14&gt;0,Gradesheet!L476,Gradesheet!AR476)</f>
        <v>0</v>
      </c>
      <c r="F448" s="145">
        <f>IF(Outline!$C$14&gt;0,Gradesheet!AZ476,"NA")</f>
        <v>0</v>
      </c>
      <c r="G448" s="145">
        <f>IF(Outline!$C$14&gt;0,Gradesheet!U446,Gradesheet!AY446)</f>
        <v>0</v>
      </c>
      <c r="H448" s="146">
        <f t="shared" si="7"/>
        <v>0</v>
      </c>
    </row>
    <row r="449" spans="2:8" hidden="1" x14ac:dyDescent="0.25">
      <c r="B449" s="90">
        <f>Gradesheet!A477</f>
        <v>39</v>
      </c>
      <c r="C449" s="91">
        <f>(Gradesheet!B477)</f>
        <v>0</v>
      </c>
      <c r="D449" s="92">
        <f>IF(Outline!$C$14&gt;0,Gradesheet!AD477,Gradesheet!AK477)</f>
        <v>0</v>
      </c>
      <c r="E449" s="145">
        <f>IF(Outline!$C$14&gt;0,Gradesheet!L477,Gradesheet!AR477)</f>
        <v>0</v>
      </c>
      <c r="F449" s="145">
        <f>IF(Outline!$C$14&gt;0,Gradesheet!AZ477,"NA")</f>
        <v>0</v>
      </c>
      <c r="G449" s="145">
        <f>IF(Outline!$C$14&gt;0,Gradesheet!U447,Gradesheet!AY447)</f>
        <v>0</v>
      </c>
      <c r="H449" s="146">
        <f t="shared" si="7"/>
        <v>0</v>
      </c>
    </row>
    <row r="450" spans="2:8" hidden="1" x14ac:dyDescent="0.25">
      <c r="B450" s="90">
        <f>Gradesheet!A478</f>
        <v>40</v>
      </c>
      <c r="C450" s="91">
        <f>(Gradesheet!B478)</f>
        <v>0</v>
      </c>
      <c r="D450" s="92">
        <f>IF(Outline!$C$14&gt;0,Gradesheet!AD478,Gradesheet!AK478)</f>
        <v>0</v>
      </c>
      <c r="E450" s="145">
        <f>IF(Outline!$C$14&gt;0,Gradesheet!L478,Gradesheet!AR478)</f>
        <v>0</v>
      </c>
      <c r="F450" s="145">
        <f>IF(Outline!$C$14&gt;0,Gradesheet!AZ478,"NA")</f>
        <v>0</v>
      </c>
      <c r="G450" s="145">
        <f>IF(Outline!$C$14&gt;0,Gradesheet!U448,Gradesheet!AY448)</f>
        <v>0</v>
      </c>
      <c r="H450" s="146">
        <f t="shared" si="7"/>
        <v>0</v>
      </c>
    </row>
    <row r="451" spans="2:8" hidden="1" x14ac:dyDescent="0.25">
      <c r="B451" s="90">
        <f>Gradesheet!A479</f>
        <v>41</v>
      </c>
      <c r="C451" s="91">
        <f>(Gradesheet!B479)</f>
        <v>0</v>
      </c>
      <c r="D451" s="92">
        <f>IF(Outline!$C$14&gt;0,Gradesheet!AD479,Gradesheet!AK479)</f>
        <v>0</v>
      </c>
      <c r="E451" s="145">
        <f>IF(Outline!$C$14&gt;0,Gradesheet!L479,Gradesheet!AR479)</f>
        <v>0</v>
      </c>
      <c r="F451" s="145">
        <f>IF(Outline!$C$14&gt;0,Gradesheet!AZ479,"NA")</f>
        <v>0</v>
      </c>
      <c r="G451" s="145">
        <f>IF(Outline!$C$14&gt;0,Gradesheet!U449,Gradesheet!AY449)</f>
        <v>0</v>
      </c>
      <c r="H451" s="146">
        <f t="shared" si="7"/>
        <v>0</v>
      </c>
    </row>
    <row r="452" spans="2:8" hidden="1" x14ac:dyDescent="0.25">
      <c r="B452" s="90">
        <f>Gradesheet!A480</f>
        <v>42</v>
      </c>
      <c r="C452" s="91">
        <f>(Gradesheet!B480)</f>
        <v>0</v>
      </c>
      <c r="D452" s="92">
        <f>IF(Outline!$C$14&gt;0,Gradesheet!AD480,Gradesheet!AK480)</f>
        <v>0</v>
      </c>
      <c r="E452" s="145">
        <f>IF(Outline!$C$14&gt;0,Gradesheet!L480,Gradesheet!AR480)</f>
        <v>0</v>
      </c>
      <c r="F452" s="145">
        <f>IF(Outline!$C$14&gt;0,Gradesheet!AZ480,"NA")</f>
        <v>0</v>
      </c>
      <c r="G452" s="145">
        <f>IF(Outline!$C$14&gt;0,Gradesheet!U450,Gradesheet!AY450)</f>
        <v>0</v>
      </c>
      <c r="H452" s="146">
        <f t="shared" si="7"/>
        <v>0</v>
      </c>
    </row>
    <row r="453" spans="2:8" hidden="1" x14ac:dyDescent="0.25">
      <c r="B453" s="90">
        <f>Gradesheet!A481</f>
        <v>0</v>
      </c>
      <c r="C453" s="91">
        <f>(Gradesheet!B481)</f>
        <v>0</v>
      </c>
      <c r="D453" s="92">
        <f>IF(Outline!$C$14&gt;0,Gradesheet!AD481,Gradesheet!AK481)</f>
        <v>0</v>
      </c>
      <c r="E453" s="145">
        <f>IF(Outline!$C$14&gt;0,Gradesheet!L481,Gradesheet!AR481)</f>
        <v>0</v>
      </c>
      <c r="F453" s="145">
        <f>IF(Outline!$C$14&gt;0,Gradesheet!AZ481,"NA")</f>
        <v>0</v>
      </c>
      <c r="G453" s="145">
        <f>IF(Outline!$C$14&gt;0,Gradesheet!U451,Gradesheet!AY451)</f>
        <v>0</v>
      </c>
      <c r="H453" s="146">
        <f t="shared" si="7"/>
        <v>0</v>
      </c>
    </row>
    <row r="454" spans="2:8" hidden="1" x14ac:dyDescent="0.25">
      <c r="B454" s="90">
        <f>Gradesheet!A482</f>
        <v>1</v>
      </c>
      <c r="C454" s="91">
        <f>(Gradesheet!B482)</f>
        <v>0</v>
      </c>
      <c r="D454" s="92">
        <f>IF(Outline!$C$14&gt;0,Gradesheet!AD482,Gradesheet!AK482)</f>
        <v>0</v>
      </c>
      <c r="E454" s="145">
        <f>IF(Outline!$C$14&gt;0,Gradesheet!L482,Gradesheet!AR482)</f>
        <v>0</v>
      </c>
      <c r="F454" s="145">
        <f>IF(Outline!$C$14&gt;0,Gradesheet!AZ482,"NA")</f>
        <v>0</v>
      </c>
      <c r="G454" s="145">
        <f>IF(Outline!$C$14&gt;0,Gradesheet!U452,Gradesheet!AY452)</f>
        <v>0</v>
      </c>
      <c r="H454" s="146">
        <f t="shared" si="7"/>
        <v>0</v>
      </c>
    </row>
    <row r="455" spans="2:8" hidden="1" x14ac:dyDescent="0.25">
      <c r="B455" s="90">
        <f>Gradesheet!A483</f>
        <v>2</v>
      </c>
      <c r="C455" s="91">
        <f>(Gradesheet!B483)</f>
        <v>0</v>
      </c>
      <c r="D455" s="92">
        <f>IF(Outline!$C$14&gt;0,Gradesheet!AD483,Gradesheet!AK483)</f>
        <v>0</v>
      </c>
      <c r="E455" s="145">
        <f>IF(Outline!$C$14&gt;0,Gradesheet!L483,Gradesheet!AR483)</f>
        <v>0</v>
      </c>
      <c r="F455" s="145">
        <f>IF(Outline!$C$14&gt;0,Gradesheet!AZ483,"NA")</f>
        <v>0</v>
      </c>
      <c r="G455" s="145">
        <f>IF(Outline!$C$14&gt;0,Gradesheet!U453,Gradesheet!AY453)</f>
        <v>0</v>
      </c>
      <c r="H455" s="146">
        <f t="shared" ref="H455:H518" si="8">SUM(D455:G455)</f>
        <v>0</v>
      </c>
    </row>
    <row r="456" spans="2:8" hidden="1" x14ac:dyDescent="0.25">
      <c r="B456" s="90">
        <f>Gradesheet!A484</f>
        <v>3</v>
      </c>
      <c r="C456" s="91">
        <f>(Gradesheet!B484)</f>
        <v>0</v>
      </c>
      <c r="D456" s="92">
        <f>IF(Outline!$C$14&gt;0,Gradesheet!AD484,Gradesheet!AK484)</f>
        <v>0</v>
      </c>
      <c r="E456" s="145">
        <f>IF(Outline!$C$14&gt;0,Gradesheet!L484,Gradesheet!AR484)</f>
        <v>0</v>
      </c>
      <c r="F456" s="145">
        <f>IF(Outline!$C$14&gt;0,Gradesheet!AZ484,"NA")</f>
        <v>0</v>
      </c>
      <c r="G456" s="145">
        <f>IF(Outline!$C$14&gt;0,Gradesheet!U454,Gradesheet!AY454)</f>
        <v>0</v>
      </c>
      <c r="H456" s="146">
        <f t="shared" si="8"/>
        <v>0</v>
      </c>
    </row>
    <row r="457" spans="2:8" hidden="1" x14ac:dyDescent="0.25">
      <c r="B457" s="90">
        <f>Gradesheet!A485</f>
        <v>4</v>
      </c>
      <c r="C457" s="91">
        <f>(Gradesheet!B485)</f>
        <v>0</v>
      </c>
      <c r="D457" s="92">
        <f>IF(Outline!$C$14&gt;0,Gradesheet!AD485,Gradesheet!AK485)</f>
        <v>0</v>
      </c>
      <c r="E457" s="145">
        <f>IF(Outline!$C$14&gt;0,Gradesheet!L485,Gradesheet!AR485)</f>
        <v>0</v>
      </c>
      <c r="F457" s="145">
        <f>IF(Outline!$C$14&gt;0,Gradesheet!AZ485,"NA")</f>
        <v>0</v>
      </c>
      <c r="G457" s="145">
        <f>IF(Outline!$C$14&gt;0,Gradesheet!U455,Gradesheet!AY455)</f>
        <v>0</v>
      </c>
      <c r="H457" s="146">
        <f t="shared" si="8"/>
        <v>0</v>
      </c>
    </row>
    <row r="458" spans="2:8" hidden="1" x14ac:dyDescent="0.25">
      <c r="B458" s="90">
        <f>Gradesheet!A486</f>
        <v>5</v>
      </c>
      <c r="C458" s="91">
        <f>(Gradesheet!B486)</f>
        <v>0</v>
      </c>
      <c r="D458" s="92">
        <f>IF(Outline!$C$14&gt;0,Gradesheet!AD486,Gradesheet!AK486)</f>
        <v>0</v>
      </c>
      <c r="E458" s="145">
        <f>IF(Outline!$C$14&gt;0,Gradesheet!L486,Gradesheet!AR486)</f>
        <v>0</v>
      </c>
      <c r="F458" s="145">
        <f>IF(Outline!$C$14&gt;0,Gradesheet!AZ486,"NA")</f>
        <v>0</v>
      </c>
      <c r="G458" s="145">
        <f>IF(Outline!$C$14&gt;0,Gradesheet!U456,Gradesheet!AY456)</f>
        <v>0</v>
      </c>
      <c r="H458" s="146">
        <f t="shared" si="8"/>
        <v>0</v>
      </c>
    </row>
    <row r="459" spans="2:8" hidden="1" x14ac:dyDescent="0.25">
      <c r="B459" s="90">
        <f>Gradesheet!A487</f>
        <v>6</v>
      </c>
      <c r="C459" s="91">
        <f>(Gradesheet!B487)</f>
        <v>0</v>
      </c>
      <c r="D459" s="92">
        <f>IF(Outline!$C$14&gt;0,Gradesheet!AD487,Gradesheet!AK487)</f>
        <v>0</v>
      </c>
      <c r="E459" s="145">
        <f>IF(Outline!$C$14&gt;0,Gradesheet!L487,Gradesheet!AR487)</f>
        <v>0</v>
      </c>
      <c r="F459" s="145">
        <f>IF(Outline!$C$14&gt;0,Gradesheet!AZ487,"NA")</f>
        <v>0</v>
      </c>
      <c r="G459" s="145">
        <f>IF(Outline!$C$14&gt;0,Gradesheet!U457,Gradesheet!AY457)</f>
        <v>0</v>
      </c>
      <c r="H459" s="146">
        <f t="shared" si="8"/>
        <v>0</v>
      </c>
    </row>
    <row r="460" spans="2:8" hidden="1" x14ac:dyDescent="0.25">
      <c r="B460" s="90">
        <f>Gradesheet!A488</f>
        <v>7</v>
      </c>
      <c r="C460" s="91">
        <f>(Gradesheet!B488)</f>
        <v>0</v>
      </c>
      <c r="D460" s="92">
        <f>IF(Outline!$C$14&gt;0,Gradesheet!AD488,Gradesheet!AK488)</f>
        <v>0</v>
      </c>
      <c r="E460" s="145">
        <f>IF(Outline!$C$14&gt;0,Gradesheet!L488,Gradesheet!AR488)</f>
        <v>0</v>
      </c>
      <c r="F460" s="145">
        <f>IF(Outline!$C$14&gt;0,Gradesheet!AZ488,"NA")</f>
        <v>0</v>
      </c>
      <c r="G460" s="145">
        <f>IF(Outline!$C$14&gt;0,Gradesheet!U458,Gradesheet!AY458)</f>
        <v>0</v>
      </c>
      <c r="H460" s="146">
        <f t="shared" si="8"/>
        <v>0</v>
      </c>
    </row>
    <row r="461" spans="2:8" hidden="1" x14ac:dyDescent="0.25">
      <c r="B461" s="90">
        <f>Gradesheet!A489</f>
        <v>8</v>
      </c>
      <c r="C461" s="91">
        <f>(Gradesheet!B489)</f>
        <v>0</v>
      </c>
      <c r="D461" s="92">
        <f>IF(Outline!$C$14&gt;0,Gradesheet!AD489,Gradesheet!AK489)</f>
        <v>0</v>
      </c>
      <c r="E461" s="145">
        <f>IF(Outline!$C$14&gt;0,Gradesheet!L489,Gradesheet!AR489)</f>
        <v>0</v>
      </c>
      <c r="F461" s="145">
        <f>IF(Outline!$C$14&gt;0,Gradesheet!AZ489,"NA")</f>
        <v>0</v>
      </c>
      <c r="G461" s="145">
        <f>IF(Outline!$C$14&gt;0,Gradesheet!U459,Gradesheet!AY459)</f>
        <v>0</v>
      </c>
      <c r="H461" s="146">
        <f t="shared" si="8"/>
        <v>0</v>
      </c>
    </row>
    <row r="462" spans="2:8" hidden="1" x14ac:dyDescent="0.25">
      <c r="B462" s="90">
        <f>Gradesheet!A490</f>
        <v>9</v>
      </c>
      <c r="C462" s="91">
        <f>(Gradesheet!B490)</f>
        <v>0</v>
      </c>
      <c r="D462" s="92">
        <f>IF(Outline!$C$14&gt;0,Gradesheet!AD490,Gradesheet!AK490)</f>
        <v>0</v>
      </c>
      <c r="E462" s="145">
        <f>IF(Outline!$C$14&gt;0,Gradesheet!L490,Gradesheet!AR490)</f>
        <v>0</v>
      </c>
      <c r="F462" s="145">
        <f>IF(Outline!$C$14&gt;0,Gradesheet!AZ490,"NA")</f>
        <v>0</v>
      </c>
      <c r="G462" s="145">
        <f>IF(Outline!$C$14&gt;0,Gradesheet!U460,Gradesheet!AY460)</f>
        <v>0</v>
      </c>
      <c r="H462" s="146">
        <f t="shared" si="8"/>
        <v>0</v>
      </c>
    </row>
    <row r="463" spans="2:8" hidden="1" x14ac:dyDescent="0.25">
      <c r="B463" s="90">
        <f>Gradesheet!A491</f>
        <v>10</v>
      </c>
      <c r="C463" s="91">
        <f>(Gradesheet!B491)</f>
        <v>0</v>
      </c>
      <c r="D463" s="92">
        <f>IF(Outline!$C$14&gt;0,Gradesheet!AD491,Gradesheet!AK491)</f>
        <v>0</v>
      </c>
      <c r="E463" s="145">
        <f>IF(Outline!$C$14&gt;0,Gradesheet!L491,Gradesheet!AR491)</f>
        <v>0</v>
      </c>
      <c r="F463" s="145">
        <f>IF(Outline!$C$14&gt;0,Gradesheet!AZ491,"NA")</f>
        <v>0</v>
      </c>
      <c r="G463" s="145">
        <f>IF(Outline!$C$14&gt;0,Gradesheet!U461,Gradesheet!AY461)</f>
        <v>0</v>
      </c>
      <c r="H463" s="146">
        <f t="shared" si="8"/>
        <v>0</v>
      </c>
    </row>
    <row r="464" spans="2:8" hidden="1" x14ac:dyDescent="0.25">
      <c r="B464" s="90">
        <f>Gradesheet!A492</f>
        <v>11</v>
      </c>
      <c r="C464" s="91">
        <f>(Gradesheet!B492)</f>
        <v>0</v>
      </c>
      <c r="D464" s="92">
        <f>IF(Outline!$C$14&gt;0,Gradesheet!AD492,Gradesheet!AK492)</f>
        <v>0</v>
      </c>
      <c r="E464" s="145">
        <f>IF(Outline!$C$14&gt;0,Gradesheet!L492,Gradesheet!AR492)</f>
        <v>0</v>
      </c>
      <c r="F464" s="145">
        <f>IF(Outline!$C$14&gt;0,Gradesheet!AZ492,"NA")</f>
        <v>0</v>
      </c>
      <c r="G464" s="145">
        <f>IF(Outline!$C$14&gt;0,Gradesheet!U462,Gradesheet!AY462)</f>
        <v>0</v>
      </c>
      <c r="H464" s="146">
        <f t="shared" si="8"/>
        <v>0</v>
      </c>
    </row>
    <row r="465" spans="2:8" hidden="1" x14ac:dyDescent="0.25">
      <c r="B465" s="90">
        <f>Gradesheet!A493</f>
        <v>12</v>
      </c>
      <c r="C465" s="91">
        <f>(Gradesheet!B493)</f>
        <v>0</v>
      </c>
      <c r="D465" s="92">
        <f>IF(Outline!$C$14&gt;0,Gradesheet!AD493,Gradesheet!AK493)</f>
        <v>0</v>
      </c>
      <c r="E465" s="145">
        <f>IF(Outline!$C$14&gt;0,Gradesheet!L493,Gradesheet!AR493)</f>
        <v>0</v>
      </c>
      <c r="F465" s="145">
        <f>IF(Outline!$C$14&gt;0,Gradesheet!AZ493,"NA")</f>
        <v>0</v>
      </c>
      <c r="G465" s="145">
        <f>IF(Outline!$C$14&gt;0,Gradesheet!U463,Gradesheet!AY463)</f>
        <v>0</v>
      </c>
      <c r="H465" s="146">
        <f t="shared" si="8"/>
        <v>0</v>
      </c>
    </row>
    <row r="466" spans="2:8" hidden="1" x14ac:dyDescent="0.25">
      <c r="B466" s="90">
        <f>Gradesheet!A494</f>
        <v>13</v>
      </c>
      <c r="C466" s="91">
        <f>(Gradesheet!B494)</f>
        <v>0</v>
      </c>
      <c r="D466" s="92">
        <f>IF(Outline!$C$14&gt;0,Gradesheet!AD494,Gradesheet!AK494)</f>
        <v>0</v>
      </c>
      <c r="E466" s="145">
        <f>IF(Outline!$C$14&gt;0,Gradesheet!L494,Gradesheet!AR494)</f>
        <v>0</v>
      </c>
      <c r="F466" s="145">
        <f>IF(Outline!$C$14&gt;0,Gradesheet!AZ494,"NA")</f>
        <v>0</v>
      </c>
      <c r="G466" s="145">
        <f>IF(Outline!$C$14&gt;0,Gradesheet!U464,Gradesheet!AY464)</f>
        <v>0</v>
      </c>
      <c r="H466" s="146">
        <f t="shared" si="8"/>
        <v>0</v>
      </c>
    </row>
    <row r="467" spans="2:8" hidden="1" x14ac:dyDescent="0.25">
      <c r="B467" s="90">
        <f>Gradesheet!A495</f>
        <v>14</v>
      </c>
      <c r="C467" s="91">
        <f>(Gradesheet!B495)</f>
        <v>0</v>
      </c>
      <c r="D467" s="92">
        <f>IF(Outline!$C$14&gt;0,Gradesheet!AD495,Gradesheet!AK495)</f>
        <v>0</v>
      </c>
      <c r="E467" s="145">
        <f>IF(Outline!$C$14&gt;0,Gradesheet!L495,Gradesheet!AR495)</f>
        <v>0</v>
      </c>
      <c r="F467" s="145">
        <f>IF(Outline!$C$14&gt;0,Gradesheet!AZ495,"NA")</f>
        <v>0</v>
      </c>
      <c r="G467" s="145">
        <f>IF(Outline!$C$14&gt;0,Gradesheet!U465,Gradesheet!AY465)</f>
        <v>0</v>
      </c>
      <c r="H467" s="146">
        <f t="shared" si="8"/>
        <v>0</v>
      </c>
    </row>
    <row r="468" spans="2:8" hidden="1" x14ac:dyDescent="0.25">
      <c r="B468" s="90">
        <f>Gradesheet!A496</f>
        <v>15</v>
      </c>
      <c r="C468" s="91">
        <f>(Gradesheet!B496)</f>
        <v>0</v>
      </c>
      <c r="D468" s="92">
        <f>IF(Outline!$C$14&gt;0,Gradesheet!AD496,Gradesheet!AK496)</f>
        <v>0</v>
      </c>
      <c r="E468" s="145">
        <f>IF(Outline!$C$14&gt;0,Gradesheet!L496,Gradesheet!AR496)</f>
        <v>0</v>
      </c>
      <c r="F468" s="145">
        <f>IF(Outline!$C$14&gt;0,Gradesheet!AZ496,"NA")</f>
        <v>0</v>
      </c>
      <c r="G468" s="145">
        <f>IF(Outline!$C$14&gt;0,Gradesheet!U466,Gradesheet!AY466)</f>
        <v>0</v>
      </c>
      <c r="H468" s="146">
        <f t="shared" si="8"/>
        <v>0</v>
      </c>
    </row>
    <row r="469" spans="2:8" hidden="1" x14ac:dyDescent="0.25">
      <c r="B469" s="90">
        <f>Gradesheet!A497</f>
        <v>16</v>
      </c>
      <c r="C469" s="91">
        <f>(Gradesheet!B497)</f>
        <v>0</v>
      </c>
      <c r="D469" s="92">
        <f>IF(Outline!$C$14&gt;0,Gradesheet!AD497,Gradesheet!AK497)</f>
        <v>0</v>
      </c>
      <c r="E469" s="145">
        <f>IF(Outline!$C$14&gt;0,Gradesheet!L497,Gradesheet!AR497)</f>
        <v>0</v>
      </c>
      <c r="F469" s="145">
        <f>IF(Outline!$C$14&gt;0,Gradesheet!AZ497,"NA")</f>
        <v>0</v>
      </c>
      <c r="G469" s="145">
        <f>IF(Outline!$C$14&gt;0,Gradesheet!U467,Gradesheet!AY467)</f>
        <v>0</v>
      </c>
      <c r="H469" s="146">
        <f t="shared" si="8"/>
        <v>0</v>
      </c>
    </row>
    <row r="470" spans="2:8" hidden="1" x14ac:dyDescent="0.25">
      <c r="B470" s="90">
        <f>Gradesheet!A498</f>
        <v>17</v>
      </c>
      <c r="C470" s="91">
        <f>(Gradesheet!B498)</f>
        <v>0</v>
      </c>
      <c r="D470" s="92">
        <f>IF(Outline!$C$14&gt;0,Gradesheet!AD498,Gradesheet!AK498)</f>
        <v>0</v>
      </c>
      <c r="E470" s="145">
        <f>IF(Outline!$C$14&gt;0,Gradesheet!L498,Gradesheet!AR498)</f>
        <v>0</v>
      </c>
      <c r="F470" s="145">
        <f>IF(Outline!$C$14&gt;0,Gradesheet!AZ498,"NA")</f>
        <v>0</v>
      </c>
      <c r="G470" s="145">
        <f>IF(Outline!$C$14&gt;0,Gradesheet!U468,Gradesheet!AY468)</f>
        <v>0</v>
      </c>
      <c r="H470" s="146">
        <f t="shared" si="8"/>
        <v>0</v>
      </c>
    </row>
    <row r="471" spans="2:8" hidden="1" x14ac:dyDescent="0.25">
      <c r="B471" s="90">
        <f>Gradesheet!A499</f>
        <v>18</v>
      </c>
      <c r="C471" s="91">
        <f>(Gradesheet!B499)</f>
        <v>0</v>
      </c>
      <c r="D471" s="92">
        <f>IF(Outline!$C$14&gt;0,Gradesheet!AD499,Gradesheet!AK499)</f>
        <v>0</v>
      </c>
      <c r="E471" s="145">
        <f>IF(Outline!$C$14&gt;0,Gradesheet!L499,Gradesheet!AR499)</f>
        <v>0</v>
      </c>
      <c r="F471" s="145">
        <f>IF(Outline!$C$14&gt;0,Gradesheet!AZ499,"NA")</f>
        <v>0</v>
      </c>
      <c r="G471" s="145">
        <f>IF(Outline!$C$14&gt;0,Gradesheet!U469,Gradesheet!AY469)</f>
        <v>0</v>
      </c>
      <c r="H471" s="146">
        <f t="shared" si="8"/>
        <v>0</v>
      </c>
    </row>
    <row r="472" spans="2:8" hidden="1" x14ac:dyDescent="0.25">
      <c r="B472" s="90">
        <f>Gradesheet!A500</f>
        <v>19</v>
      </c>
      <c r="C472" s="91">
        <f>(Gradesheet!B500)</f>
        <v>0</v>
      </c>
      <c r="D472" s="92">
        <f>IF(Outline!$C$14&gt;0,Gradesheet!AD500,Gradesheet!AK500)</f>
        <v>0</v>
      </c>
      <c r="E472" s="145">
        <f>IF(Outline!$C$14&gt;0,Gradesheet!L500,Gradesheet!AR500)</f>
        <v>0</v>
      </c>
      <c r="F472" s="145">
        <f>IF(Outline!$C$14&gt;0,Gradesheet!AZ500,"NA")</f>
        <v>0</v>
      </c>
      <c r="G472" s="145">
        <f>IF(Outline!$C$14&gt;0,Gradesheet!U470,Gradesheet!AY470)</f>
        <v>0</v>
      </c>
      <c r="H472" s="146">
        <f t="shared" si="8"/>
        <v>0</v>
      </c>
    </row>
    <row r="473" spans="2:8" hidden="1" x14ac:dyDescent="0.25">
      <c r="B473" s="90">
        <f>Gradesheet!A501</f>
        <v>20</v>
      </c>
      <c r="C473" s="91">
        <f>(Gradesheet!B501)</f>
        <v>0</v>
      </c>
      <c r="D473" s="92">
        <f>IF(Outline!$C$14&gt;0,Gradesheet!AD501,Gradesheet!AK501)</f>
        <v>0</v>
      </c>
      <c r="E473" s="145">
        <f>IF(Outline!$C$14&gt;0,Gradesheet!L501,Gradesheet!AR501)</f>
        <v>0</v>
      </c>
      <c r="F473" s="145">
        <f>IF(Outline!$C$14&gt;0,Gradesheet!AZ501,"NA")</f>
        <v>0</v>
      </c>
      <c r="G473" s="145">
        <f>IF(Outline!$C$14&gt;0,Gradesheet!U471,Gradesheet!AY471)</f>
        <v>0</v>
      </c>
      <c r="H473" s="146">
        <f t="shared" si="8"/>
        <v>0</v>
      </c>
    </row>
    <row r="474" spans="2:8" hidden="1" x14ac:dyDescent="0.25">
      <c r="B474" s="90">
        <f>Gradesheet!A502</f>
        <v>21</v>
      </c>
      <c r="C474" s="91">
        <f>(Gradesheet!B502)</f>
        <v>0</v>
      </c>
      <c r="D474" s="92">
        <f>IF(Outline!$C$14&gt;0,Gradesheet!AD502,Gradesheet!AK502)</f>
        <v>0</v>
      </c>
      <c r="E474" s="145">
        <f>IF(Outline!$C$14&gt;0,Gradesheet!L502,Gradesheet!AR502)</f>
        <v>0</v>
      </c>
      <c r="F474" s="145">
        <f>IF(Outline!$C$14&gt;0,Gradesheet!AZ502,"NA")</f>
        <v>0</v>
      </c>
      <c r="G474" s="145">
        <f>IF(Outline!$C$14&gt;0,Gradesheet!U472,Gradesheet!AY472)</f>
        <v>0</v>
      </c>
      <c r="H474" s="146">
        <f t="shared" si="8"/>
        <v>0</v>
      </c>
    </row>
    <row r="475" spans="2:8" hidden="1" x14ac:dyDescent="0.25">
      <c r="B475" s="90">
        <f>Gradesheet!A503</f>
        <v>22</v>
      </c>
      <c r="C475" s="91">
        <f>(Gradesheet!B503)</f>
        <v>0</v>
      </c>
      <c r="D475" s="92">
        <f>IF(Outline!$C$14&gt;0,Gradesheet!AD503,Gradesheet!AK503)</f>
        <v>0</v>
      </c>
      <c r="E475" s="145">
        <f>IF(Outline!$C$14&gt;0,Gradesheet!L503,Gradesheet!AR503)</f>
        <v>0</v>
      </c>
      <c r="F475" s="145">
        <f>IF(Outline!$C$14&gt;0,Gradesheet!AZ503,"NA")</f>
        <v>0</v>
      </c>
      <c r="G475" s="145">
        <f>IF(Outline!$C$14&gt;0,Gradesheet!U473,Gradesheet!AY473)</f>
        <v>0</v>
      </c>
      <c r="H475" s="146">
        <f t="shared" si="8"/>
        <v>0</v>
      </c>
    </row>
    <row r="476" spans="2:8" hidden="1" x14ac:dyDescent="0.25">
      <c r="B476" s="90">
        <f>Gradesheet!A504</f>
        <v>23</v>
      </c>
      <c r="C476" s="91">
        <f>(Gradesheet!B504)</f>
        <v>0</v>
      </c>
      <c r="D476" s="92">
        <f>IF(Outline!$C$14&gt;0,Gradesheet!AD504,Gradesheet!AK504)</f>
        <v>0</v>
      </c>
      <c r="E476" s="145">
        <f>IF(Outline!$C$14&gt;0,Gradesheet!L504,Gradesheet!AR504)</f>
        <v>0</v>
      </c>
      <c r="F476" s="145">
        <f>IF(Outline!$C$14&gt;0,Gradesheet!AZ504,"NA")</f>
        <v>0</v>
      </c>
      <c r="G476" s="145">
        <f>IF(Outline!$C$14&gt;0,Gradesheet!U474,Gradesheet!AY474)</f>
        <v>0</v>
      </c>
      <c r="H476" s="146">
        <f t="shared" si="8"/>
        <v>0</v>
      </c>
    </row>
    <row r="477" spans="2:8" hidden="1" x14ac:dyDescent="0.25">
      <c r="B477" s="90">
        <f>Gradesheet!A505</f>
        <v>24</v>
      </c>
      <c r="C477" s="91">
        <f>(Gradesheet!B505)</f>
        <v>0</v>
      </c>
      <c r="D477" s="92">
        <f>IF(Outline!$C$14&gt;0,Gradesheet!AD505,Gradesheet!AK505)</f>
        <v>0</v>
      </c>
      <c r="E477" s="145">
        <f>IF(Outline!$C$14&gt;0,Gradesheet!L505,Gradesheet!AR505)</f>
        <v>0</v>
      </c>
      <c r="F477" s="145">
        <f>IF(Outline!$C$14&gt;0,Gradesheet!AZ505,"NA")</f>
        <v>0</v>
      </c>
      <c r="G477" s="145">
        <f>IF(Outline!$C$14&gt;0,Gradesheet!U475,Gradesheet!AY475)</f>
        <v>0</v>
      </c>
      <c r="H477" s="146">
        <f t="shared" si="8"/>
        <v>0</v>
      </c>
    </row>
    <row r="478" spans="2:8" hidden="1" x14ac:dyDescent="0.25">
      <c r="B478" s="90">
        <f>Gradesheet!A506</f>
        <v>25</v>
      </c>
      <c r="C478" s="91">
        <f>(Gradesheet!B506)</f>
        <v>0</v>
      </c>
      <c r="D478" s="92">
        <f>IF(Outline!$C$14&gt;0,Gradesheet!AD506,Gradesheet!AK506)</f>
        <v>0</v>
      </c>
      <c r="E478" s="145">
        <f>IF(Outline!$C$14&gt;0,Gradesheet!L506,Gradesheet!AR506)</f>
        <v>0</v>
      </c>
      <c r="F478" s="145">
        <f>IF(Outline!$C$14&gt;0,Gradesheet!AZ506,"NA")</f>
        <v>0</v>
      </c>
      <c r="G478" s="145">
        <f>IF(Outline!$C$14&gt;0,Gradesheet!U476,Gradesheet!AY476)</f>
        <v>0</v>
      </c>
      <c r="H478" s="146">
        <f t="shared" si="8"/>
        <v>0</v>
      </c>
    </row>
    <row r="479" spans="2:8" hidden="1" x14ac:dyDescent="0.25">
      <c r="B479" s="90">
        <f>Gradesheet!A507</f>
        <v>26</v>
      </c>
      <c r="C479" s="91">
        <f>(Gradesheet!B507)</f>
        <v>0</v>
      </c>
      <c r="D479" s="92">
        <f>IF(Outline!$C$14&gt;0,Gradesheet!AD507,Gradesheet!AK507)</f>
        <v>0</v>
      </c>
      <c r="E479" s="145">
        <f>IF(Outline!$C$14&gt;0,Gradesheet!L507,Gradesheet!AR507)</f>
        <v>0</v>
      </c>
      <c r="F479" s="145">
        <f>IF(Outline!$C$14&gt;0,Gradesheet!AZ507,"NA")</f>
        <v>0</v>
      </c>
      <c r="G479" s="145">
        <f>IF(Outline!$C$14&gt;0,Gradesheet!U477,Gradesheet!AY477)</f>
        <v>0</v>
      </c>
      <c r="H479" s="146">
        <f t="shared" si="8"/>
        <v>0</v>
      </c>
    </row>
    <row r="480" spans="2:8" hidden="1" x14ac:dyDescent="0.25">
      <c r="B480" s="90">
        <f>Gradesheet!A508</f>
        <v>27</v>
      </c>
      <c r="C480" s="91">
        <f>(Gradesheet!B508)</f>
        <v>0</v>
      </c>
      <c r="D480" s="92">
        <f>IF(Outline!$C$14&gt;0,Gradesheet!AD508,Gradesheet!AK508)</f>
        <v>0</v>
      </c>
      <c r="E480" s="145">
        <f>IF(Outline!$C$14&gt;0,Gradesheet!L508,Gradesheet!AR508)</f>
        <v>0</v>
      </c>
      <c r="F480" s="145">
        <f>IF(Outline!$C$14&gt;0,Gradesheet!AZ508,"NA")</f>
        <v>0</v>
      </c>
      <c r="G480" s="145">
        <f>IF(Outline!$C$14&gt;0,Gradesheet!U478,Gradesheet!AY478)</f>
        <v>0</v>
      </c>
      <c r="H480" s="146">
        <f t="shared" si="8"/>
        <v>0</v>
      </c>
    </row>
    <row r="481" spans="2:8" hidden="1" x14ac:dyDescent="0.25">
      <c r="B481" s="90">
        <f>Gradesheet!A509</f>
        <v>28</v>
      </c>
      <c r="C481" s="91">
        <f>(Gradesheet!B509)</f>
        <v>0</v>
      </c>
      <c r="D481" s="92">
        <f>IF(Outline!$C$14&gt;0,Gradesheet!AD509,Gradesheet!AK509)</f>
        <v>0</v>
      </c>
      <c r="E481" s="145">
        <f>IF(Outline!$C$14&gt;0,Gradesheet!L509,Gradesheet!AR509)</f>
        <v>0</v>
      </c>
      <c r="F481" s="145">
        <f>IF(Outline!$C$14&gt;0,Gradesheet!AZ509,"NA")</f>
        <v>0</v>
      </c>
      <c r="G481" s="145">
        <f>IF(Outline!$C$14&gt;0,Gradesheet!U479,Gradesheet!AY479)</f>
        <v>0</v>
      </c>
      <c r="H481" s="146">
        <f t="shared" si="8"/>
        <v>0</v>
      </c>
    </row>
    <row r="482" spans="2:8" hidden="1" x14ac:dyDescent="0.25">
      <c r="B482" s="90">
        <f>Gradesheet!A510</f>
        <v>29</v>
      </c>
      <c r="C482" s="91">
        <f>(Gradesheet!B510)</f>
        <v>0</v>
      </c>
      <c r="D482" s="92">
        <f>IF(Outline!$C$14&gt;0,Gradesheet!AD510,Gradesheet!AK510)</f>
        <v>0</v>
      </c>
      <c r="E482" s="145">
        <f>IF(Outline!$C$14&gt;0,Gradesheet!L510,Gradesheet!AR510)</f>
        <v>0</v>
      </c>
      <c r="F482" s="145">
        <f>IF(Outline!$C$14&gt;0,Gradesheet!AZ510,"NA")</f>
        <v>0</v>
      </c>
      <c r="G482" s="145">
        <f>IF(Outline!$C$14&gt;0,Gradesheet!U480,Gradesheet!AY480)</f>
        <v>0</v>
      </c>
      <c r="H482" s="146">
        <f t="shared" si="8"/>
        <v>0</v>
      </c>
    </row>
    <row r="483" spans="2:8" hidden="1" x14ac:dyDescent="0.25">
      <c r="B483" s="90">
        <f>Gradesheet!A511</f>
        <v>30</v>
      </c>
      <c r="C483" s="91">
        <f>(Gradesheet!B511)</f>
        <v>0</v>
      </c>
      <c r="D483" s="92">
        <f>IF(Outline!$C$14&gt;0,Gradesheet!AD511,Gradesheet!AK511)</f>
        <v>0</v>
      </c>
      <c r="E483" s="145">
        <f>IF(Outline!$C$14&gt;0,Gradesheet!L511,Gradesheet!AR511)</f>
        <v>0</v>
      </c>
      <c r="F483" s="145">
        <f>IF(Outline!$C$14&gt;0,Gradesheet!AZ511,"NA")</f>
        <v>0</v>
      </c>
      <c r="G483" s="145">
        <f>IF(Outline!$C$14&gt;0,Gradesheet!U481,Gradesheet!AY481)</f>
        <v>0</v>
      </c>
      <c r="H483" s="146">
        <f t="shared" si="8"/>
        <v>0</v>
      </c>
    </row>
    <row r="484" spans="2:8" hidden="1" x14ac:dyDescent="0.25">
      <c r="B484" s="90">
        <f>Gradesheet!A512</f>
        <v>31</v>
      </c>
      <c r="C484" s="91">
        <f>(Gradesheet!B512)</f>
        <v>0</v>
      </c>
      <c r="D484" s="92">
        <f>IF(Outline!$C$14&gt;0,Gradesheet!AD512,Gradesheet!AK512)</f>
        <v>0</v>
      </c>
      <c r="E484" s="145">
        <f>IF(Outline!$C$14&gt;0,Gradesheet!L512,Gradesheet!AR512)</f>
        <v>0</v>
      </c>
      <c r="F484" s="145">
        <f>IF(Outline!$C$14&gt;0,Gradesheet!AZ512,"NA")</f>
        <v>0</v>
      </c>
      <c r="G484" s="145">
        <f>IF(Outline!$C$14&gt;0,Gradesheet!U482,Gradesheet!AY482)</f>
        <v>0</v>
      </c>
      <c r="H484" s="146">
        <f t="shared" si="8"/>
        <v>0</v>
      </c>
    </row>
    <row r="485" spans="2:8" hidden="1" x14ac:dyDescent="0.25">
      <c r="B485" s="90">
        <f>Gradesheet!A513</f>
        <v>32</v>
      </c>
      <c r="C485" s="91">
        <f>(Gradesheet!B513)</f>
        <v>0</v>
      </c>
      <c r="D485" s="92">
        <f>IF(Outline!$C$14&gt;0,Gradesheet!AD513,Gradesheet!AK513)</f>
        <v>0</v>
      </c>
      <c r="E485" s="145">
        <f>IF(Outline!$C$14&gt;0,Gradesheet!L513,Gradesheet!AR513)</f>
        <v>0</v>
      </c>
      <c r="F485" s="145">
        <f>IF(Outline!$C$14&gt;0,Gradesheet!AZ513,"NA")</f>
        <v>0</v>
      </c>
      <c r="G485" s="145">
        <f>IF(Outline!$C$14&gt;0,Gradesheet!U483,Gradesheet!AY483)</f>
        <v>0</v>
      </c>
      <c r="H485" s="146">
        <f t="shared" si="8"/>
        <v>0</v>
      </c>
    </row>
    <row r="486" spans="2:8" hidden="1" x14ac:dyDescent="0.25">
      <c r="B486" s="90">
        <f>Gradesheet!A514</f>
        <v>33</v>
      </c>
      <c r="C486" s="91">
        <f>(Gradesheet!B514)</f>
        <v>0</v>
      </c>
      <c r="D486" s="92">
        <f>IF(Outline!$C$14&gt;0,Gradesheet!AD514,Gradesheet!AK514)</f>
        <v>0</v>
      </c>
      <c r="E486" s="145">
        <f>IF(Outline!$C$14&gt;0,Gradesheet!L514,Gradesheet!AR514)</f>
        <v>0</v>
      </c>
      <c r="F486" s="145">
        <f>IF(Outline!$C$14&gt;0,Gradesheet!AZ514,"NA")</f>
        <v>0</v>
      </c>
      <c r="G486" s="145">
        <f>IF(Outline!$C$14&gt;0,Gradesheet!U484,Gradesheet!AY484)</f>
        <v>0</v>
      </c>
      <c r="H486" s="146">
        <f t="shared" si="8"/>
        <v>0</v>
      </c>
    </row>
    <row r="487" spans="2:8" hidden="1" x14ac:dyDescent="0.25">
      <c r="B487" s="90">
        <f>Gradesheet!A515</f>
        <v>34</v>
      </c>
      <c r="C487" s="91">
        <f>(Gradesheet!B515)</f>
        <v>0</v>
      </c>
      <c r="D487" s="92">
        <f>IF(Outline!$C$14&gt;0,Gradesheet!AD515,Gradesheet!AK515)</f>
        <v>0</v>
      </c>
      <c r="E487" s="145">
        <f>IF(Outline!$C$14&gt;0,Gradesheet!L515,Gradesheet!AR515)</f>
        <v>0</v>
      </c>
      <c r="F487" s="145">
        <f>IF(Outline!$C$14&gt;0,Gradesheet!AZ515,"NA")</f>
        <v>0</v>
      </c>
      <c r="G487" s="145">
        <f>IF(Outline!$C$14&gt;0,Gradesheet!U485,Gradesheet!AY485)</f>
        <v>0</v>
      </c>
      <c r="H487" s="146">
        <f t="shared" si="8"/>
        <v>0</v>
      </c>
    </row>
    <row r="488" spans="2:8" hidden="1" x14ac:dyDescent="0.25">
      <c r="B488" s="90">
        <f>Gradesheet!A516</f>
        <v>35</v>
      </c>
      <c r="C488" s="91">
        <f>(Gradesheet!B516)</f>
        <v>0</v>
      </c>
      <c r="D488" s="92">
        <f>IF(Outline!$C$14&gt;0,Gradesheet!AD516,Gradesheet!AK516)</f>
        <v>0</v>
      </c>
      <c r="E488" s="145">
        <f>IF(Outline!$C$14&gt;0,Gradesheet!L516,Gradesheet!AR516)</f>
        <v>0</v>
      </c>
      <c r="F488" s="145">
        <f>IF(Outline!$C$14&gt;0,Gradesheet!AZ516,"NA")</f>
        <v>0</v>
      </c>
      <c r="G488" s="145">
        <f>IF(Outline!$C$14&gt;0,Gradesheet!U486,Gradesheet!AY486)</f>
        <v>0</v>
      </c>
      <c r="H488" s="146">
        <f t="shared" si="8"/>
        <v>0</v>
      </c>
    </row>
    <row r="489" spans="2:8" hidden="1" x14ac:dyDescent="0.25">
      <c r="B489" s="90">
        <f>Gradesheet!A517</f>
        <v>36</v>
      </c>
      <c r="C489" s="91">
        <f>(Gradesheet!B517)</f>
        <v>0</v>
      </c>
      <c r="D489" s="92">
        <f>IF(Outline!$C$14&gt;0,Gradesheet!AD517,Gradesheet!AK517)</f>
        <v>0</v>
      </c>
      <c r="E489" s="145">
        <f>IF(Outline!$C$14&gt;0,Gradesheet!L517,Gradesheet!AR517)</f>
        <v>0</v>
      </c>
      <c r="F489" s="145">
        <f>IF(Outline!$C$14&gt;0,Gradesheet!AZ517,"NA")</f>
        <v>0</v>
      </c>
      <c r="G489" s="145">
        <f>IF(Outline!$C$14&gt;0,Gradesheet!U487,Gradesheet!AY487)</f>
        <v>0</v>
      </c>
      <c r="H489" s="146">
        <f t="shared" si="8"/>
        <v>0</v>
      </c>
    </row>
    <row r="490" spans="2:8" hidden="1" x14ac:dyDescent="0.25">
      <c r="B490" s="90">
        <f>Gradesheet!A518</f>
        <v>37</v>
      </c>
      <c r="C490" s="91">
        <f>(Gradesheet!B518)</f>
        <v>0</v>
      </c>
      <c r="D490" s="92">
        <f>IF(Outline!$C$14&gt;0,Gradesheet!AD518,Gradesheet!AK518)</f>
        <v>0</v>
      </c>
      <c r="E490" s="145">
        <f>IF(Outline!$C$14&gt;0,Gradesheet!L518,Gradesheet!AR518)</f>
        <v>0</v>
      </c>
      <c r="F490" s="145">
        <f>IF(Outline!$C$14&gt;0,Gradesheet!AZ518,"NA")</f>
        <v>0</v>
      </c>
      <c r="G490" s="145">
        <f>IF(Outline!$C$14&gt;0,Gradesheet!U488,Gradesheet!AY488)</f>
        <v>0</v>
      </c>
      <c r="H490" s="146">
        <f t="shared" si="8"/>
        <v>0</v>
      </c>
    </row>
    <row r="491" spans="2:8" hidden="1" x14ac:dyDescent="0.25">
      <c r="B491" s="90">
        <f>Gradesheet!A519</f>
        <v>38</v>
      </c>
      <c r="C491" s="91">
        <f>(Gradesheet!B519)</f>
        <v>0</v>
      </c>
      <c r="D491" s="92">
        <f>IF(Outline!$C$14&gt;0,Gradesheet!AD519,Gradesheet!AK519)</f>
        <v>0</v>
      </c>
      <c r="E491" s="145">
        <f>IF(Outline!$C$14&gt;0,Gradesheet!L519,Gradesheet!AR519)</f>
        <v>0</v>
      </c>
      <c r="F491" s="145">
        <f>IF(Outline!$C$14&gt;0,Gradesheet!AZ519,"NA")</f>
        <v>0</v>
      </c>
      <c r="G491" s="145">
        <f>IF(Outline!$C$14&gt;0,Gradesheet!U489,Gradesheet!AY489)</f>
        <v>0</v>
      </c>
      <c r="H491" s="146">
        <f t="shared" si="8"/>
        <v>0</v>
      </c>
    </row>
    <row r="492" spans="2:8" hidden="1" x14ac:dyDescent="0.25">
      <c r="B492" s="90">
        <f>Gradesheet!A520</f>
        <v>39</v>
      </c>
      <c r="C492" s="91">
        <f>(Gradesheet!B520)</f>
        <v>0</v>
      </c>
      <c r="D492" s="92">
        <f>IF(Outline!$C$14&gt;0,Gradesheet!AD520,Gradesheet!AK520)</f>
        <v>0</v>
      </c>
      <c r="E492" s="145">
        <f>IF(Outline!$C$14&gt;0,Gradesheet!L520,Gradesheet!AR520)</f>
        <v>0</v>
      </c>
      <c r="F492" s="145">
        <f>IF(Outline!$C$14&gt;0,Gradesheet!AZ520,"NA")</f>
        <v>0</v>
      </c>
      <c r="G492" s="145">
        <f>IF(Outline!$C$14&gt;0,Gradesheet!U490,Gradesheet!AY490)</f>
        <v>0</v>
      </c>
      <c r="H492" s="146">
        <f t="shared" si="8"/>
        <v>0</v>
      </c>
    </row>
    <row r="493" spans="2:8" hidden="1" x14ac:dyDescent="0.25">
      <c r="B493" s="90">
        <f>Gradesheet!A521</f>
        <v>40</v>
      </c>
      <c r="C493" s="91">
        <f>(Gradesheet!B521)</f>
        <v>0</v>
      </c>
      <c r="D493" s="92">
        <f>IF(Outline!$C$14&gt;0,Gradesheet!AD521,Gradesheet!AK521)</f>
        <v>0</v>
      </c>
      <c r="E493" s="145">
        <f>IF(Outline!$C$14&gt;0,Gradesheet!L521,Gradesheet!AR521)</f>
        <v>0</v>
      </c>
      <c r="F493" s="145">
        <f>IF(Outline!$C$14&gt;0,Gradesheet!AZ521,"NA")</f>
        <v>0</v>
      </c>
      <c r="G493" s="145">
        <f>IF(Outline!$C$14&gt;0,Gradesheet!U491,Gradesheet!AY491)</f>
        <v>0</v>
      </c>
      <c r="H493" s="146">
        <f t="shared" si="8"/>
        <v>0</v>
      </c>
    </row>
    <row r="494" spans="2:8" hidden="1" x14ac:dyDescent="0.25">
      <c r="B494" s="90">
        <f>Gradesheet!A522</f>
        <v>41</v>
      </c>
      <c r="C494" s="91">
        <f>(Gradesheet!B522)</f>
        <v>0</v>
      </c>
      <c r="D494" s="92">
        <f>IF(Outline!$C$14&gt;0,Gradesheet!AD522,Gradesheet!AK522)</f>
        <v>0</v>
      </c>
      <c r="E494" s="145">
        <f>IF(Outline!$C$14&gt;0,Gradesheet!L522,Gradesheet!AR522)</f>
        <v>0</v>
      </c>
      <c r="F494" s="145">
        <f>IF(Outline!$C$14&gt;0,Gradesheet!AZ522,"NA")</f>
        <v>0</v>
      </c>
      <c r="G494" s="145">
        <f>IF(Outline!$C$14&gt;0,Gradesheet!U492,Gradesheet!AY492)</f>
        <v>0</v>
      </c>
      <c r="H494" s="146">
        <f t="shared" si="8"/>
        <v>0</v>
      </c>
    </row>
    <row r="495" spans="2:8" hidden="1" x14ac:dyDescent="0.25">
      <c r="B495" s="90">
        <f>Gradesheet!A523</f>
        <v>42</v>
      </c>
      <c r="C495" s="91">
        <f>(Gradesheet!B523)</f>
        <v>0</v>
      </c>
      <c r="D495" s="92">
        <f>IF(Outline!$C$14&gt;0,Gradesheet!AD523,Gradesheet!AK523)</f>
        <v>0</v>
      </c>
      <c r="E495" s="145">
        <f>IF(Outline!$C$14&gt;0,Gradesheet!L523,Gradesheet!AR523)</f>
        <v>0</v>
      </c>
      <c r="F495" s="145">
        <f>IF(Outline!$C$14&gt;0,Gradesheet!AZ523,"NA")</f>
        <v>0</v>
      </c>
      <c r="G495" s="145">
        <f>IF(Outline!$C$14&gt;0,Gradesheet!U493,Gradesheet!AY493)</f>
        <v>0</v>
      </c>
      <c r="H495" s="146">
        <f t="shared" si="8"/>
        <v>0</v>
      </c>
    </row>
    <row r="496" spans="2:8" hidden="1" x14ac:dyDescent="0.25">
      <c r="B496" s="90">
        <f>Gradesheet!A524</f>
        <v>0</v>
      </c>
      <c r="C496" s="91">
        <f>(Gradesheet!B524)</f>
        <v>0</v>
      </c>
      <c r="D496" s="92">
        <f>IF(Outline!$C$14&gt;0,Gradesheet!AD524,Gradesheet!AK524)</f>
        <v>0</v>
      </c>
      <c r="E496" s="145">
        <f>IF(Outline!$C$14&gt;0,Gradesheet!L524,Gradesheet!AR524)</f>
        <v>0</v>
      </c>
      <c r="F496" s="145">
        <f>IF(Outline!$C$14&gt;0,Gradesheet!AZ524,"NA")</f>
        <v>0</v>
      </c>
      <c r="G496" s="145">
        <f>IF(Outline!$C$14&gt;0,Gradesheet!U494,Gradesheet!AY494)</f>
        <v>0</v>
      </c>
      <c r="H496" s="146">
        <f t="shared" si="8"/>
        <v>0</v>
      </c>
    </row>
    <row r="497" spans="2:8" hidden="1" x14ac:dyDescent="0.25">
      <c r="B497" s="90">
        <f>Gradesheet!A525</f>
        <v>1</v>
      </c>
      <c r="C497" s="91">
        <f>(Gradesheet!B525)</f>
        <v>0</v>
      </c>
      <c r="D497" s="92">
        <f>IF(Outline!$C$14&gt;0,Gradesheet!AD525,Gradesheet!AK525)</f>
        <v>0</v>
      </c>
      <c r="E497" s="145">
        <f>IF(Outline!$C$14&gt;0,Gradesheet!L525,Gradesheet!AR525)</f>
        <v>0</v>
      </c>
      <c r="F497" s="145">
        <f>IF(Outline!$C$14&gt;0,Gradesheet!AZ525,"NA")</f>
        <v>0</v>
      </c>
      <c r="G497" s="145">
        <f>IF(Outline!$C$14&gt;0,Gradesheet!U495,Gradesheet!AY495)</f>
        <v>0</v>
      </c>
      <c r="H497" s="146">
        <f t="shared" si="8"/>
        <v>0</v>
      </c>
    </row>
    <row r="498" spans="2:8" hidden="1" x14ac:dyDescent="0.25">
      <c r="B498" s="90">
        <f>Gradesheet!A526</f>
        <v>2</v>
      </c>
      <c r="C498" s="91">
        <f>(Gradesheet!B526)</f>
        <v>0</v>
      </c>
      <c r="D498" s="92">
        <f>IF(Outline!$C$14&gt;0,Gradesheet!AD526,Gradesheet!AK526)</f>
        <v>0</v>
      </c>
      <c r="E498" s="145">
        <f>IF(Outline!$C$14&gt;0,Gradesheet!L526,Gradesheet!AR526)</f>
        <v>0</v>
      </c>
      <c r="F498" s="145">
        <f>IF(Outline!$C$14&gt;0,Gradesheet!AZ526,"NA")</f>
        <v>0</v>
      </c>
      <c r="G498" s="145">
        <f>IF(Outline!$C$14&gt;0,Gradesheet!U496,Gradesheet!AY496)</f>
        <v>0</v>
      </c>
      <c r="H498" s="146">
        <f t="shared" si="8"/>
        <v>0</v>
      </c>
    </row>
    <row r="499" spans="2:8" hidden="1" x14ac:dyDescent="0.25">
      <c r="B499" s="90">
        <f>Gradesheet!A527</f>
        <v>3</v>
      </c>
      <c r="C499" s="91">
        <f>(Gradesheet!B527)</f>
        <v>0</v>
      </c>
      <c r="D499" s="92">
        <f>IF(Outline!$C$14&gt;0,Gradesheet!AD527,Gradesheet!AK527)</f>
        <v>0</v>
      </c>
      <c r="E499" s="145">
        <f>IF(Outline!$C$14&gt;0,Gradesheet!L527,Gradesheet!AR527)</f>
        <v>0</v>
      </c>
      <c r="F499" s="145">
        <f>IF(Outline!$C$14&gt;0,Gradesheet!AZ527,"NA")</f>
        <v>0</v>
      </c>
      <c r="G499" s="145">
        <f>IF(Outline!$C$14&gt;0,Gradesheet!U497,Gradesheet!AY497)</f>
        <v>0</v>
      </c>
      <c r="H499" s="146">
        <f t="shared" si="8"/>
        <v>0</v>
      </c>
    </row>
    <row r="500" spans="2:8" hidden="1" x14ac:dyDescent="0.25">
      <c r="B500" s="90">
        <f>Gradesheet!A528</f>
        <v>4</v>
      </c>
      <c r="C500" s="91">
        <f>(Gradesheet!B528)</f>
        <v>0</v>
      </c>
      <c r="D500" s="92">
        <f>IF(Outline!$C$14&gt;0,Gradesheet!AD528,Gradesheet!AK528)</f>
        <v>0</v>
      </c>
      <c r="E500" s="145">
        <f>IF(Outline!$C$14&gt;0,Gradesheet!L528,Gradesheet!AR528)</f>
        <v>0</v>
      </c>
      <c r="F500" s="145">
        <f>IF(Outline!$C$14&gt;0,Gradesheet!AZ528,"NA")</f>
        <v>0</v>
      </c>
      <c r="G500" s="145">
        <f>IF(Outline!$C$14&gt;0,Gradesheet!U498,Gradesheet!AY498)</f>
        <v>0</v>
      </c>
      <c r="H500" s="146">
        <f t="shared" si="8"/>
        <v>0</v>
      </c>
    </row>
    <row r="501" spans="2:8" hidden="1" x14ac:dyDescent="0.25">
      <c r="B501" s="90">
        <f>Gradesheet!A529</f>
        <v>5</v>
      </c>
      <c r="C501" s="91">
        <f>(Gradesheet!B529)</f>
        <v>0</v>
      </c>
      <c r="D501" s="92">
        <f>IF(Outline!$C$14&gt;0,Gradesheet!AD529,Gradesheet!AK529)</f>
        <v>0</v>
      </c>
      <c r="E501" s="145">
        <f>IF(Outline!$C$14&gt;0,Gradesheet!L529,Gradesheet!AR529)</f>
        <v>0</v>
      </c>
      <c r="F501" s="145">
        <f>IF(Outline!$C$14&gt;0,Gradesheet!AZ529,"NA")</f>
        <v>0</v>
      </c>
      <c r="G501" s="145">
        <f>IF(Outline!$C$14&gt;0,Gradesheet!U499,Gradesheet!AY499)</f>
        <v>0</v>
      </c>
      <c r="H501" s="146">
        <f t="shared" si="8"/>
        <v>0</v>
      </c>
    </row>
    <row r="502" spans="2:8" hidden="1" x14ac:dyDescent="0.25">
      <c r="B502" s="90">
        <f>Gradesheet!A530</f>
        <v>6</v>
      </c>
      <c r="C502" s="91">
        <f>(Gradesheet!B530)</f>
        <v>0</v>
      </c>
      <c r="D502" s="92">
        <f>IF(Outline!$C$14&gt;0,Gradesheet!AD530,Gradesheet!AK530)</f>
        <v>0</v>
      </c>
      <c r="E502" s="145">
        <f>IF(Outline!$C$14&gt;0,Gradesheet!L530,Gradesheet!AR530)</f>
        <v>0</v>
      </c>
      <c r="F502" s="145">
        <f>IF(Outline!$C$14&gt;0,Gradesheet!AZ530,"NA")</f>
        <v>0</v>
      </c>
      <c r="G502" s="145">
        <f>IF(Outline!$C$14&gt;0,Gradesheet!U500,Gradesheet!AY500)</f>
        <v>0</v>
      </c>
      <c r="H502" s="146">
        <f t="shared" si="8"/>
        <v>0</v>
      </c>
    </row>
    <row r="503" spans="2:8" hidden="1" x14ac:dyDescent="0.25">
      <c r="B503" s="90">
        <f>Gradesheet!A531</f>
        <v>7</v>
      </c>
      <c r="C503" s="91">
        <f>(Gradesheet!B531)</f>
        <v>0</v>
      </c>
      <c r="D503" s="92">
        <f>IF(Outline!$C$14&gt;0,Gradesheet!AD531,Gradesheet!AK531)</f>
        <v>0</v>
      </c>
      <c r="E503" s="145">
        <f>IF(Outline!$C$14&gt;0,Gradesheet!L531,Gradesheet!AR531)</f>
        <v>0</v>
      </c>
      <c r="F503" s="145">
        <f>IF(Outline!$C$14&gt;0,Gradesheet!AZ531,"NA")</f>
        <v>0</v>
      </c>
      <c r="G503" s="145">
        <f>IF(Outline!$C$14&gt;0,Gradesheet!U501,Gradesheet!AY501)</f>
        <v>0</v>
      </c>
      <c r="H503" s="146">
        <f t="shared" si="8"/>
        <v>0</v>
      </c>
    </row>
    <row r="504" spans="2:8" hidden="1" x14ac:dyDescent="0.25">
      <c r="B504" s="90">
        <f>Gradesheet!A532</f>
        <v>8</v>
      </c>
      <c r="C504" s="91">
        <f>(Gradesheet!B532)</f>
        <v>0</v>
      </c>
      <c r="D504" s="92">
        <f>IF(Outline!$C$14&gt;0,Gradesheet!AD532,Gradesheet!AK532)</f>
        <v>0</v>
      </c>
      <c r="E504" s="145">
        <f>IF(Outline!$C$14&gt;0,Gradesheet!L532,Gradesheet!AR532)</f>
        <v>0</v>
      </c>
      <c r="F504" s="145">
        <f>IF(Outline!$C$14&gt;0,Gradesheet!AZ532,"NA")</f>
        <v>0</v>
      </c>
      <c r="G504" s="145">
        <f>IF(Outline!$C$14&gt;0,Gradesheet!U502,Gradesheet!AY502)</f>
        <v>0</v>
      </c>
      <c r="H504" s="146">
        <f t="shared" si="8"/>
        <v>0</v>
      </c>
    </row>
    <row r="505" spans="2:8" hidden="1" x14ac:dyDescent="0.25">
      <c r="B505" s="90">
        <f>Gradesheet!A533</f>
        <v>9</v>
      </c>
      <c r="C505" s="91">
        <f>(Gradesheet!B533)</f>
        <v>0</v>
      </c>
      <c r="D505" s="92">
        <f>IF(Outline!$C$14&gt;0,Gradesheet!AD533,Gradesheet!AK533)</f>
        <v>0</v>
      </c>
      <c r="E505" s="145">
        <f>IF(Outline!$C$14&gt;0,Gradesheet!L533,Gradesheet!AR533)</f>
        <v>0</v>
      </c>
      <c r="F505" s="145">
        <f>IF(Outline!$C$14&gt;0,Gradesheet!AZ533,"NA")</f>
        <v>0</v>
      </c>
      <c r="G505" s="145">
        <f>IF(Outline!$C$14&gt;0,Gradesheet!U503,Gradesheet!AY503)</f>
        <v>0</v>
      </c>
      <c r="H505" s="146">
        <f t="shared" si="8"/>
        <v>0</v>
      </c>
    </row>
    <row r="506" spans="2:8" hidden="1" x14ac:dyDescent="0.25">
      <c r="B506" s="90">
        <f>Gradesheet!A534</f>
        <v>10</v>
      </c>
      <c r="C506" s="91">
        <f>(Gradesheet!B534)</f>
        <v>0</v>
      </c>
      <c r="D506" s="92">
        <f>IF(Outline!$C$14&gt;0,Gradesheet!AD534,Gradesheet!AK534)</f>
        <v>0</v>
      </c>
      <c r="E506" s="145">
        <f>IF(Outline!$C$14&gt;0,Gradesheet!L534,Gradesheet!AR534)</f>
        <v>0</v>
      </c>
      <c r="F506" s="145">
        <f>IF(Outline!$C$14&gt;0,Gradesheet!AZ534,"NA")</f>
        <v>0</v>
      </c>
      <c r="G506" s="145">
        <f>IF(Outline!$C$14&gt;0,Gradesheet!U504,Gradesheet!AY504)</f>
        <v>0</v>
      </c>
      <c r="H506" s="146">
        <f t="shared" si="8"/>
        <v>0</v>
      </c>
    </row>
    <row r="507" spans="2:8" hidden="1" x14ac:dyDescent="0.25">
      <c r="B507" s="90">
        <f>Gradesheet!A535</f>
        <v>11</v>
      </c>
      <c r="C507" s="91">
        <f>(Gradesheet!B535)</f>
        <v>0</v>
      </c>
      <c r="D507" s="92">
        <f>IF(Outline!$C$14&gt;0,Gradesheet!AD535,Gradesheet!AK535)</f>
        <v>0</v>
      </c>
      <c r="E507" s="145">
        <f>IF(Outline!$C$14&gt;0,Gradesheet!L535,Gradesheet!AR535)</f>
        <v>0</v>
      </c>
      <c r="F507" s="145">
        <f>IF(Outline!$C$14&gt;0,Gradesheet!AZ535,"NA")</f>
        <v>0</v>
      </c>
      <c r="G507" s="145">
        <f>IF(Outline!$C$14&gt;0,Gradesheet!U505,Gradesheet!AY505)</f>
        <v>0</v>
      </c>
      <c r="H507" s="146">
        <f t="shared" si="8"/>
        <v>0</v>
      </c>
    </row>
    <row r="508" spans="2:8" hidden="1" x14ac:dyDescent="0.25">
      <c r="B508" s="90">
        <f>Gradesheet!A536</f>
        <v>12</v>
      </c>
      <c r="C508" s="91">
        <f>(Gradesheet!B536)</f>
        <v>0</v>
      </c>
      <c r="D508" s="92">
        <f>IF(Outline!$C$14&gt;0,Gradesheet!AD536,Gradesheet!AK536)</f>
        <v>0</v>
      </c>
      <c r="E508" s="145">
        <f>IF(Outline!$C$14&gt;0,Gradesheet!L536,Gradesheet!AR536)</f>
        <v>0</v>
      </c>
      <c r="F508" s="145">
        <f>IF(Outline!$C$14&gt;0,Gradesheet!AZ536,"NA")</f>
        <v>0</v>
      </c>
      <c r="G508" s="145">
        <f>IF(Outline!$C$14&gt;0,Gradesheet!U506,Gradesheet!AY506)</f>
        <v>0</v>
      </c>
      <c r="H508" s="146">
        <f t="shared" si="8"/>
        <v>0</v>
      </c>
    </row>
    <row r="509" spans="2:8" hidden="1" x14ac:dyDescent="0.25">
      <c r="B509" s="90">
        <f>Gradesheet!A537</f>
        <v>13</v>
      </c>
      <c r="C509" s="91">
        <f>(Gradesheet!B537)</f>
        <v>0</v>
      </c>
      <c r="D509" s="92">
        <f>IF(Outline!$C$14&gt;0,Gradesheet!AD537,Gradesheet!AK537)</f>
        <v>0</v>
      </c>
      <c r="E509" s="145">
        <f>IF(Outline!$C$14&gt;0,Gradesheet!L537,Gradesheet!AR537)</f>
        <v>0</v>
      </c>
      <c r="F509" s="145">
        <f>IF(Outline!$C$14&gt;0,Gradesheet!AZ537,"NA")</f>
        <v>0</v>
      </c>
      <c r="G509" s="145">
        <f>IF(Outline!$C$14&gt;0,Gradesheet!U507,Gradesheet!AY507)</f>
        <v>0</v>
      </c>
      <c r="H509" s="146">
        <f t="shared" si="8"/>
        <v>0</v>
      </c>
    </row>
    <row r="510" spans="2:8" hidden="1" x14ac:dyDescent="0.25">
      <c r="B510" s="90">
        <f>Gradesheet!A538</f>
        <v>14</v>
      </c>
      <c r="C510" s="91">
        <f>(Gradesheet!B538)</f>
        <v>0</v>
      </c>
      <c r="D510" s="92">
        <f>IF(Outline!$C$14&gt;0,Gradesheet!AD538,Gradesheet!AK538)</f>
        <v>0</v>
      </c>
      <c r="E510" s="145">
        <f>IF(Outline!$C$14&gt;0,Gradesheet!L538,Gradesheet!AR538)</f>
        <v>0</v>
      </c>
      <c r="F510" s="145">
        <f>IF(Outline!$C$14&gt;0,Gradesheet!AZ538,"NA")</f>
        <v>0</v>
      </c>
      <c r="G510" s="145">
        <f>IF(Outline!$C$14&gt;0,Gradesheet!U508,Gradesheet!AY508)</f>
        <v>0</v>
      </c>
      <c r="H510" s="146">
        <f t="shared" si="8"/>
        <v>0</v>
      </c>
    </row>
    <row r="511" spans="2:8" hidden="1" x14ac:dyDescent="0.25">
      <c r="B511" s="90">
        <f>Gradesheet!A539</f>
        <v>15</v>
      </c>
      <c r="C511" s="91">
        <f>(Gradesheet!B539)</f>
        <v>0</v>
      </c>
      <c r="D511" s="92">
        <f>IF(Outline!$C$14&gt;0,Gradesheet!AD539,Gradesheet!AK539)</f>
        <v>0</v>
      </c>
      <c r="E511" s="145">
        <f>IF(Outline!$C$14&gt;0,Gradesheet!L539,Gradesheet!AR539)</f>
        <v>0</v>
      </c>
      <c r="F511" s="145">
        <f>IF(Outline!$C$14&gt;0,Gradesheet!AZ539,"NA")</f>
        <v>0</v>
      </c>
      <c r="G511" s="145">
        <f>IF(Outline!$C$14&gt;0,Gradesheet!U509,Gradesheet!AY509)</f>
        <v>0</v>
      </c>
      <c r="H511" s="146">
        <f t="shared" si="8"/>
        <v>0</v>
      </c>
    </row>
    <row r="512" spans="2:8" hidden="1" x14ac:dyDescent="0.25">
      <c r="B512" s="90">
        <f>Gradesheet!A540</f>
        <v>16</v>
      </c>
      <c r="C512" s="91">
        <f>(Gradesheet!B540)</f>
        <v>0</v>
      </c>
      <c r="D512" s="92">
        <f>IF(Outline!$C$14&gt;0,Gradesheet!AD540,Gradesheet!AK540)</f>
        <v>0</v>
      </c>
      <c r="E512" s="145">
        <f>IF(Outline!$C$14&gt;0,Gradesheet!L540,Gradesheet!AR540)</f>
        <v>0</v>
      </c>
      <c r="F512" s="145">
        <f>IF(Outline!$C$14&gt;0,Gradesheet!AZ540,"NA")</f>
        <v>0</v>
      </c>
      <c r="G512" s="145">
        <f>IF(Outline!$C$14&gt;0,Gradesheet!U510,Gradesheet!AY510)</f>
        <v>0</v>
      </c>
      <c r="H512" s="146">
        <f t="shared" si="8"/>
        <v>0</v>
      </c>
    </row>
    <row r="513" spans="2:8" hidden="1" x14ac:dyDescent="0.25">
      <c r="B513" s="90">
        <f>Gradesheet!A541</f>
        <v>17</v>
      </c>
      <c r="C513" s="91">
        <f>(Gradesheet!B541)</f>
        <v>0</v>
      </c>
      <c r="D513" s="92">
        <f>IF(Outline!$C$14&gt;0,Gradesheet!AD541,Gradesheet!AK541)</f>
        <v>0</v>
      </c>
      <c r="E513" s="145">
        <f>IF(Outline!$C$14&gt;0,Gradesheet!L541,Gradesheet!AR541)</f>
        <v>0</v>
      </c>
      <c r="F513" s="145">
        <f>IF(Outline!$C$14&gt;0,Gradesheet!AZ541,"NA")</f>
        <v>0</v>
      </c>
      <c r="G513" s="145">
        <f>IF(Outline!$C$14&gt;0,Gradesheet!U511,Gradesheet!AY511)</f>
        <v>0</v>
      </c>
      <c r="H513" s="146">
        <f t="shared" si="8"/>
        <v>0</v>
      </c>
    </row>
    <row r="514" spans="2:8" hidden="1" x14ac:dyDescent="0.25">
      <c r="B514" s="90">
        <f>Gradesheet!A542</f>
        <v>18</v>
      </c>
      <c r="C514" s="91">
        <f>(Gradesheet!B542)</f>
        <v>0</v>
      </c>
      <c r="D514" s="92">
        <f>IF(Outline!$C$14&gt;0,Gradesheet!AD542,Gradesheet!AK542)</f>
        <v>0</v>
      </c>
      <c r="E514" s="145">
        <f>IF(Outline!$C$14&gt;0,Gradesheet!L542,Gradesheet!AR542)</f>
        <v>0</v>
      </c>
      <c r="F514" s="145">
        <f>IF(Outline!$C$14&gt;0,Gradesheet!AZ542,"NA")</f>
        <v>0</v>
      </c>
      <c r="G514" s="145">
        <f>IF(Outline!$C$14&gt;0,Gradesheet!U512,Gradesheet!AY512)</f>
        <v>0</v>
      </c>
      <c r="H514" s="146">
        <f t="shared" si="8"/>
        <v>0</v>
      </c>
    </row>
    <row r="515" spans="2:8" hidden="1" x14ac:dyDescent="0.25">
      <c r="B515" s="90">
        <f>Gradesheet!A543</f>
        <v>19</v>
      </c>
      <c r="C515" s="91">
        <f>(Gradesheet!B543)</f>
        <v>0</v>
      </c>
      <c r="D515" s="92">
        <f>IF(Outline!$C$14&gt;0,Gradesheet!AD543,Gradesheet!AK543)</f>
        <v>0</v>
      </c>
      <c r="E515" s="145">
        <f>IF(Outline!$C$14&gt;0,Gradesheet!L543,Gradesheet!AR543)</f>
        <v>0</v>
      </c>
      <c r="F515" s="145">
        <f>IF(Outline!$C$14&gt;0,Gradesheet!AZ543,"NA")</f>
        <v>0</v>
      </c>
      <c r="G515" s="145">
        <f>IF(Outline!$C$14&gt;0,Gradesheet!U513,Gradesheet!AY513)</f>
        <v>0</v>
      </c>
      <c r="H515" s="146">
        <f t="shared" si="8"/>
        <v>0</v>
      </c>
    </row>
    <row r="516" spans="2:8" hidden="1" x14ac:dyDescent="0.25">
      <c r="B516" s="90">
        <f>Gradesheet!A544</f>
        <v>20</v>
      </c>
      <c r="C516" s="91">
        <f>(Gradesheet!B544)</f>
        <v>0</v>
      </c>
      <c r="D516" s="92">
        <f>IF(Outline!$C$14&gt;0,Gradesheet!AD544,Gradesheet!AK544)</f>
        <v>0</v>
      </c>
      <c r="E516" s="145">
        <f>IF(Outline!$C$14&gt;0,Gradesheet!L544,Gradesheet!AR544)</f>
        <v>0</v>
      </c>
      <c r="F516" s="145">
        <f>IF(Outline!$C$14&gt;0,Gradesheet!AZ544,"NA")</f>
        <v>0</v>
      </c>
      <c r="G516" s="145">
        <f>IF(Outline!$C$14&gt;0,Gradesheet!U514,Gradesheet!AY514)</f>
        <v>0</v>
      </c>
      <c r="H516" s="146">
        <f t="shared" si="8"/>
        <v>0</v>
      </c>
    </row>
    <row r="517" spans="2:8" hidden="1" x14ac:dyDescent="0.25">
      <c r="B517" s="90">
        <f>Gradesheet!A545</f>
        <v>21</v>
      </c>
      <c r="C517" s="91">
        <f>(Gradesheet!B545)</f>
        <v>0</v>
      </c>
      <c r="D517" s="92">
        <f>IF(Outline!$C$14&gt;0,Gradesheet!AD545,Gradesheet!AK545)</f>
        <v>0</v>
      </c>
      <c r="E517" s="145">
        <f>IF(Outline!$C$14&gt;0,Gradesheet!L545,Gradesheet!AR545)</f>
        <v>0</v>
      </c>
      <c r="F517" s="145">
        <f>IF(Outline!$C$14&gt;0,Gradesheet!AZ545,"NA")</f>
        <v>0</v>
      </c>
      <c r="G517" s="145">
        <f>IF(Outline!$C$14&gt;0,Gradesheet!U515,Gradesheet!AY515)</f>
        <v>0</v>
      </c>
      <c r="H517" s="146">
        <f t="shared" si="8"/>
        <v>0</v>
      </c>
    </row>
    <row r="518" spans="2:8" hidden="1" x14ac:dyDescent="0.25">
      <c r="B518" s="90">
        <f>Gradesheet!A546</f>
        <v>22</v>
      </c>
      <c r="C518" s="91">
        <f>(Gradesheet!B546)</f>
        <v>0</v>
      </c>
      <c r="D518" s="92">
        <f>IF(Outline!$C$14&gt;0,Gradesheet!AD546,Gradesheet!AK546)</f>
        <v>0</v>
      </c>
      <c r="E518" s="145">
        <f>IF(Outline!$C$14&gt;0,Gradesheet!L546,Gradesheet!AR546)</f>
        <v>0</v>
      </c>
      <c r="F518" s="145">
        <f>IF(Outline!$C$14&gt;0,Gradesheet!AZ546,"NA")</f>
        <v>0</v>
      </c>
      <c r="G518" s="145">
        <f>IF(Outline!$C$14&gt;0,Gradesheet!U516,Gradesheet!AY516)</f>
        <v>0</v>
      </c>
      <c r="H518" s="146">
        <f t="shared" si="8"/>
        <v>0</v>
      </c>
    </row>
    <row r="519" spans="2:8" hidden="1" x14ac:dyDescent="0.25">
      <c r="B519" s="90">
        <f>Gradesheet!A547</f>
        <v>23</v>
      </c>
      <c r="C519" s="91">
        <f>(Gradesheet!B547)</f>
        <v>0</v>
      </c>
      <c r="D519" s="92">
        <f>IF(Outline!$C$14&gt;0,Gradesheet!AD547,Gradesheet!AK547)</f>
        <v>0</v>
      </c>
      <c r="E519" s="145">
        <f>IF(Outline!$C$14&gt;0,Gradesheet!L547,Gradesheet!AR547)</f>
        <v>0</v>
      </c>
      <c r="F519" s="145">
        <f>IF(Outline!$C$14&gt;0,Gradesheet!AZ547,"NA")</f>
        <v>0</v>
      </c>
      <c r="G519" s="145">
        <f>IF(Outline!$C$14&gt;0,Gradesheet!U517,Gradesheet!AY517)</f>
        <v>0</v>
      </c>
      <c r="H519" s="146">
        <f t="shared" ref="H519:H582" si="9">SUM(D519:G519)</f>
        <v>0</v>
      </c>
    </row>
    <row r="520" spans="2:8" hidden="1" x14ac:dyDescent="0.25">
      <c r="B520" s="90">
        <f>Gradesheet!A548</f>
        <v>24</v>
      </c>
      <c r="C520" s="91">
        <f>(Gradesheet!B548)</f>
        <v>0</v>
      </c>
      <c r="D520" s="92">
        <f>IF(Outline!$C$14&gt;0,Gradesheet!AD548,Gradesheet!AK548)</f>
        <v>0</v>
      </c>
      <c r="E520" s="145">
        <f>IF(Outline!$C$14&gt;0,Gradesheet!L548,Gradesheet!AR548)</f>
        <v>0</v>
      </c>
      <c r="F520" s="145">
        <f>IF(Outline!$C$14&gt;0,Gradesheet!AZ548,"NA")</f>
        <v>0</v>
      </c>
      <c r="G520" s="145">
        <f>IF(Outline!$C$14&gt;0,Gradesheet!U518,Gradesheet!AY518)</f>
        <v>0</v>
      </c>
      <c r="H520" s="146">
        <f t="shared" si="9"/>
        <v>0</v>
      </c>
    </row>
    <row r="521" spans="2:8" hidden="1" x14ac:dyDescent="0.25">
      <c r="B521" s="90">
        <f>Gradesheet!A549</f>
        <v>25</v>
      </c>
      <c r="C521" s="91">
        <f>(Gradesheet!B549)</f>
        <v>0</v>
      </c>
      <c r="D521" s="92">
        <f>IF(Outline!$C$14&gt;0,Gradesheet!AD549,Gradesheet!AK549)</f>
        <v>0</v>
      </c>
      <c r="E521" s="145">
        <f>IF(Outline!$C$14&gt;0,Gradesheet!L549,Gradesheet!AR549)</f>
        <v>0</v>
      </c>
      <c r="F521" s="145">
        <f>IF(Outline!$C$14&gt;0,Gradesheet!AZ549,"NA")</f>
        <v>0</v>
      </c>
      <c r="G521" s="145">
        <f>IF(Outline!$C$14&gt;0,Gradesheet!U519,Gradesheet!AY519)</f>
        <v>0</v>
      </c>
      <c r="H521" s="146">
        <f t="shared" si="9"/>
        <v>0</v>
      </c>
    </row>
    <row r="522" spans="2:8" hidden="1" x14ac:dyDescent="0.25">
      <c r="B522" s="90">
        <f>Gradesheet!A550</f>
        <v>26</v>
      </c>
      <c r="C522" s="91">
        <f>(Gradesheet!B550)</f>
        <v>0</v>
      </c>
      <c r="D522" s="92">
        <f>IF(Outline!$C$14&gt;0,Gradesheet!AD550,Gradesheet!AK550)</f>
        <v>0</v>
      </c>
      <c r="E522" s="145">
        <f>IF(Outline!$C$14&gt;0,Gradesheet!L550,Gradesheet!AR550)</f>
        <v>0</v>
      </c>
      <c r="F522" s="145">
        <f>IF(Outline!$C$14&gt;0,Gradesheet!AZ550,"NA")</f>
        <v>0</v>
      </c>
      <c r="G522" s="145">
        <f>IF(Outline!$C$14&gt;0,Gradesheet!U520,Gradesheet!AY520)</f>
        <v>0</v>
      </c>
      <c r="H522" s="146">
        <f t="shared" si="9"/>
        <v>0</v>
      </c>
    </row>
    <row r="523" spans="2:8" hidden="1" x14ac:dyDescent="0.25">
      <c r="B523" s="90">
        <f>Gradesheet!A551</f>
        <v>27</v>
      </c>
      <c r="C523" s="91">
        <f>(Gradesheet!B551)</f>
        <v>0</v>
      </c>
      <c r="D523" s="92">
        <f>IF(Outline!$C$14&gt;0,Gradesheet!AD551,Gradesheet!AK551)</f>
        <v>0</v>
      </c>
      <c r="E523" s="145">
        <f>IF(Outline!$C$14&gt;0,Gradesheet!L551,Gradesheet!AR551)</f>
        <v>0</v>
      </c>
      <c r="F523" s="145">
        <f>IF(Outline!$C$14&gt;0,Gradesheet!AZ551,"NA")</f>
        <v>0</v>
      </c>
      <c r="G523" s="145">
        <f>IF(Outline!$C$14&gt;0,Gradesheet!U521,Gradesheet!AY521)</f>
        <v>0</v>
      </c>
      <c r="H523" s="146">
        <f t="shared" si="9"/>
        <v>0</v>
      </c>
    </row>
    <row r="524" spans="2:8" hidden="1" x14ac:dyDescent="0.25">
      <c r="B524" s="90">
        <f>Gradesheet!A552</f>
        <v>28</v>
      </c>
      <c r="C524" s="91">
        <f>(Gradesheet!B552)</f>
        <v>0</v>
      </c>
      <c r="D524" s="92">
        <f>IF(Outline!$C$14&gt;0,Gradesheet!AD552,Gradesheet!AK552)</f>
        <v>0</v>
      </c>
      <c r="E524" s="145">
        <f>IF(Outline!$C$14&gt;0,Gradesheet!L552,Gradesheet!AR552)</f>
        <v>0</v>
      </c>
      <c r="F524" s="145">
        <f>IF(Outline!$C$14&gt;0,Gradesheet!AZ552,"NA")</f>
        <v>0</v>
      </c>
      <c r="G524" s="145">
        <f>IF(Outline!$C$14&gt;0,Gradesheet!U522,Gradesheet!AY522)</f>
        <v>0</v>
      </c>
      <c r="H524" s="146">
        <f t="shared" si="9"/>
        <v>0</v>
      </c>
    </row>
    <row r="525" spans="2:8" hidden="1" x14ac:dyDescent="0.25">
      <c r="B525" s="90">
        <f>Gradesheet!A553</f>
        <v>29</v>
      </c>
      <c r="C525" s="91">
        <f>(Gradesheet!B553)</f>
        <v>0</v>
      </c>
      <c r="D525" s="92">
        <f>IF(Outline!$C$14&gt;0,Gradesheet!AD553,Gradesheet!AK553)</f>
        <v>0</v>
      </c>
      <c r="E525" s="145">
        <f>IF(Outline!$C$14&gt;0,Gradesheet!L553,Gradesheet!AR553)</f>
        <v>0</v>
      </c>
      <c r="F525" s="145">
        <f>IF(Outline!$C$14&gt;0,Gradesheet!AZ553,"NA")</f>
        <v>0</v>
      </c>
      <c r="G525" s="145">
        <f>IF(Outline!$C$14&gt;0,Gradesheet!U523,Gradesheet!AY523)</f>
        <v>0</v>
      </c>
      <c r="H525" s="146">
        <f t="shared" si="9"/>
        <v>0</v>
      </c>
    </row>
    <row r="526" spans="2:8" hidden="1" x14ac:dyDescent="0.25">
      <c r="B526" s="90">
        <f>Gradesheet!A554</f>
        <v>30</v>
      </c>
      <c r="C526" s="91">
        <f>(Gradesheet!B554)</f>
        <v>0</v>
      </c>
      <c r="D526" s="92">
        <f>IF(Outline!$C$14&gt;0,Gradesheet!AD554,Gradesheet!AK554)</f>
        <v>0</v>
      </c>
      <c r="E526" s="145">
        <f>IF(Outline!$C$14&gt;0,Gradesheet!L554,Gradesheet!AR554)</f>
        <v>0</v>
      </c>
      <c r="F526" s="145">
        <f>IF(Outline!$C$14&gt;0,Gradesheet!AZ554,"NA")</f>
        <v>0</v>
      </c>
      <c r="G526" s="145">
        <f>IF(Outline!$C$14&gt;0,Gradesheet!U524,Gradesheet!AY524)</f>
        <v>0</v>
      </c>
      <c r="H526" s="146">
        <f t="shared" si="9"/>
        <v>0</v>
      </c>
    </row>
    <row r="527" spans="2:8" hidden="1" x14ac:dyDescent="0.25">
      <c r="B527" s="90">
        <f>Gradesheet!A555</f>
        <v>31</v>
      </c>
      <c r="C527" s="91">
        <f>(Gradesheet!B555)</f>
        <v>0</v>
      </c>
      <c r="D527" s="92">
        <f>IF(Outline!$C$14&gt;0,Gradesheet!AD555,Gradesheet!AK555)</f>
        <v>0</v>
      </c>
      <c r="E527" s="145">
        <f>IF(Outline!$C$14&gt;0,Gradesheet!L555,Gradesheet!AR555)</f>
        <v>0</v>
      </c>
      <c r="F527" s="145">
        <f>IF(Outline!$C$14&gt;0,Gradesheet!AZ555,"NA")</f>
        <v>0</v>
      </c>
      <c r="G527" s="145">
        <f>IF(Outline!$C$14&gt;0,Gradesheet!U525,Gradesheet!AY525)</f>
        <v>0</v>
      </c>
      <c r="H527" s="146">
        <f t="shared" si="9"/>
        <v>0</v>
      </c>
    </row>
    <row r="528" spans="2:8" hidden="1" x14ac:dyDescent="0.25">
      <c r="B528" s="90">
        <f>Gradesheet!A556</f>
        <v>32</v>
      </c>
      <c r="C528" s="91">
        <f>(Gradesheet!B556)</f>
        <v>0</v>
      </c>
      <c r="D528" s="92">
        <f>IF(Outline!$C$14&gt;0,Gradesheet!AD556,Gradesheet!AK556)</f>
        <v>0</v>
      </c>
      <c r="E528" s="145">
        <f>IF(Outline!$C$14&gt;0,Gradesheet!L556,Gradesheet!AR556)</f>
        <v>0</v>
      </c>
      <c r="F528" s="145">
        <f>IF(Outline!$C$14&gt;0,Gradesheet!AZ556,"NA")</f>
        <v>0</v>
      </c>
      <c r="G528" s="145">
        <f>IF(Outline!$C$14&gt;0,Gradesheet!U526,Gradesheet!AY526)</f>
        <v>0</v>
      </c>
      <c r="H528" s="146">
        <f t="shared" si="9"/>
        <v>0</v>
      </c>
    </row>
    <row r="529" spans="2:8" hidden="1" x14ac:dyDescent="0.25">
      <c r="B529" s="90">
        <f>Gradesheet!A557</f>
        <v>33</v>
      </c>
      <c r="C529" s="91">
        <f>(Gradesheet!B557)</f>
        <v>0</v>
      </c>
      <c r="D529" s="92">
        <f>IF(Outline!$C$14&gt;0,Gradesheet!AD557,Gradesheet!AK557)</f>
        <v>0</v>
      </c>
      <c r="E529" s="145">
        <f>IF(Outline!$C$14&gt;0,Gradesheet!L557,Gradesheet!AR557)</f>
        <v>0</v>
      </c>
      <c r="F529" s="145">
        <f>IF(Outline!$C$14&gt;0,Gradesheet!AZ557,"NA")</f>
        <v>0</v>
      </c>
      <c r="G529" s="145">
        <f>IF(Outline!$C$14&gt;0,Gradesheet!U527,Gradesheet!AY527)</f>
        <v>0</v>
      </c>
      <c r="H529" s="146">
        <f t="shared" si="9"/>
        <v>0</v>
      </c>
    </row>
    <row r="530" spans="2:8" hidden="1" x14ac:dyDescent="0.25">
      <c r="B530" s="90">
        <f>Gradesheet!A558</f>
        <v>34</v>
      </c>
      <c r="C530" s="91">
        <f>(Gradesheet!B558)</f>
        <v>0</v>
      </c>
      <c r="D530" s="92">
        <f>IF(Outline!$C$14&gt;0,Gradesheet!AD558,Gradesheet!AK558)</f>
        <v>0</v>
      </c>
      <c r="E530" s="145">
        <f>IF(Outline!$C$14&gt;0,Gradesheet!L558,Gradesheet!AR558)</f>
        <v>0</v>
      </c>
      <c r="F530" s="145">
        <f>IF(Outline!$C$14&gt;0,Gradesheet!AZ558,"NA")</f>
        <v>0</v>
      </c>
      <c r="G530" s="145">
        <f>IF(Outline!$C$14&gt;0,Gradesheet!U528,Gradesheet!AY528)</f>
        <v>0</v>
      </c>
      <c r="H530" s="146">
        <f t="shared" si="9"/>
        <v>0</v>
      </c>
    </row>
    <row r="531" spans="2:8" hidden="1" x14ac:dyDescent="0.25">
      <c r="B531" s="90">
        <f>Gradesheet!A559</f>
        <v>35</v>
      </c>
      <c r="C531" s="91">
        <f>(Gradesheet!B559)</f>
        <v>0</v>
      </c>
      <c r="D531" s="92">
        <f>IF(Outline!$C$14&gt;0,Gradesheet!AD559,Gradesheet!AK559)</f>
        <v>0</v>
      </c>
      <c r="E531" s="145">
        <f>IF(Outline!$C$14&gt;0,Gradesheet!L559,Gradesheet!AR559)</f>
        <v>0</v>
      </c>
      <c r="F531" s="145">
        <f>IF(Outline!$C$14&gt;0,Gradesheet!AZ559,"NA")</f>
        <v>0</v>
      </c>
      <c r="G531" s="145">
        <f>IF(Outline!$C$14&gt;0,Gradesheet!U529,Gradesheet!AY529)</f>
        <v>0</v>
      </c>
      <c r="H531" s="146">
        <f t="shared" si="9"/>
        <v>0</v>
      </c>
    </row>
    <row r="532" spans="2:8" hidden="1" x14ac:dyDescent="0.25">
      <c r="B532" s="90">
        <f>Gradesheet!A560</f>
        <v>36</v>
      </c>
      <c r="C532" s="91">
        <f>(Gradesheet!B560)</f>
        <v>0</v>
      </c>
      <c r="D532" s="92">
        <f>IF(Outline!$C$14&gt;0,Gradesheet!AD560,Gradesheet!AK560)</f>
        <v>0</v>
      </c>
      <c r="E532" s="145">
        <f>IF(Outline!$C$14&gt;0,Gradesheet!L560,Gradesheet!AR560)</f>
        <v>0</v>
      </c>
      <c r="F532" s="145">
        <f>IF(Outline!$C$14&gt;0,Gradesheet!AZ560,"NA")</f>
        <v>0</v>
      </c>
      <c r="G532" s="145">
        <f>IF(Outline!$C$14&gt;0,Gradesheet!U530,Gradesheet!AY530)</f>
        <v>0</v>
      </c>
      <c r="H532" s="146">
        <f t="shared" si="9"/>
        <v>0</v>
      </c>
    </row>
    <row r="533" spans="2:8" hidden="1" x14ac:dyDescent="0.25">
      <c r="B533" s="90">
        <f>Gradesheet!A561</f>
        <v>37</v>
      </c>
      <c r="C533" s="91">
        <f>(Gradesheet!B561)</f>
        <v>0</v>
      </c>
      <c r="D533" s="92">
        <f>IF(Outline!$C$14&gt;0,Gradesheet!AD561,Gradesheet!AK561)</f>
        <v>0</v>
      </c>
      <c r="E533" s="145">
        <f>IF(Outline!$C$14&gt;0,Gradesheet!L561,Gradesheet!AR561)</f>
        <v>0</v>
      </c>
      <c r="F533" s="145">
        <f>IF(Outline!$C$14&gt;0,Gradesheet!AZ561,"NA")</f>
        <v>0</v>
      </c>
      <c r="G533" s="145">
        <f>IF(Outline!$C$14&gt;0,Gradesheet!U531,Gradesheet!AY531)</f>
        <v>0</v>
      </c>
      <c r="H533" s="146">
        <f t="shared" si="9"/>
        <v>0</v>
      </c>
    </row>
    <row r="534" spans="2:8" hidden="1" x14ac:dyDescent="0.25">
      <c r="B534" s="90">
        <f>Gradesheet!A562</f>
        <v>38</v>
      </c>
      <c r="C534" s="91">
        <f>(Gradesheet!B562)</f>
        <v>0</v>
      </c>
      <c r="D534" s="92">
        <f>IF(Outline!$C$14&gt;0,Gradesheet!AD562,Gradesheet!AK562)</f>
        <v>0</v>
      </c>
      <c r="E534" s="145">
        <f>IF(Outline!$C$14&gt;0,Gradesheet!L562,Gradesheet!AR562)</f>
        <v>0</v>
      </c>
      <c r="F534" s="145">
        <f>IF(Outline!$C$14&gt;0,Gradesheet!AZ562,"NA")</f>
        <v>0</v>
      </c>
      <c r="G534" s="145">
        <f>IF(Outline!$C$14&gt;0,Gradesheet!U532,Gradesheet!AY532)</f>
        <v>0</v>
      </c>
      <c r="H534" s="146">
        <f t="shared" si="9"/>
        <v>0</v>
      </c>
    </row>
    <row r="535" spans="2:8" hidden="1" x14ac:dyDescent="0.25">
      <c r="B535" s="90">
        <f>Gradesheet!A563</f>
        <v>39</v>
      </c>
      <c r="C535" s="91">
        <f>(Gradesheet!B563)</f>
        <v>0</v>
      </c>
      <c r="D535" s="92">
        <f>IF(Outline!$C$14&gt;0,Gradesheet!AD563,Gradesheet!AK563)</f>
        <v>0</v>
      </c>
      <c r="E535" s="145">
        <f>IF(Outline!$C$14&gt;0,Gradesheet!L563,Gradesheet!AR563)</f>
        <v>0</v>
      </c>
      <c r="F535" s="145">
        <f>IF(Outline!$C$14&gt;0,Gradesheet!AZ563,"NA")</f>
        <v>0</v>
      </c>
      <c r="G535" s="145">
        <f>IF(Outline!$C$14&gt;0,Gradesheet!U533,Gradesheet!AY533)</f>
        <v>0</v>
      </c>
      <c r="H535" s="146">
        <f t="shared" si="9"/>
        <v>0</v>
      </c>
    </row>
    <row r="536" spans="2:8" hidden="1" x14ac:dyDescent="0.25">
      <c r="B536" s="90">
        <f>Gradesheet!A564</f>
        <v>40</v>
      </c>
      <c r="C536" s="91">
        <f>(Gradesheet!B564)</f>
        <v>0</v>
      </c>
      <c r="D536" s="92">
        <f>IF(Outline!$C$14&gt;0,Gradesheet!AD564,Gradesheet!AK564)</f>
        <v>0</v>
      </c>
      <c r="E536" s="145">
        <f>IF(Outline!$C$14&gt;0,Gradesheet!L564,Gradesheet!AR564)</f>
        <v>0</v>
      </c>
      <c r="F536" s="145">
        <f>IF(Outline!$C$14&gt;0,Gradesheet!AZ564,"NA")</f>
        <v>0</v>
      </c>
      <c r="G536" s="145">
        <f>IF(Outline!$C$14&gt;0,Gradesheet!U534,Gradesheet!AY534)</f>
        <v>0</v>
      </c>
      <c r="H536" s="146">
        <f t="shared" si="9"/>
        <v>0</v>
      </c>
    </row>
    <row r="537" spans="2:8" hidden="1" x14ac:dyDescent="0.25">
      <c r="B537" s="90">
        <f>Gradesheet!A565</f>
        <v>41</v>
      </c>
      <c r="C537" s="91">
        <f>(Gradesheet!B565)</f>
        <v>0</v>
      </c>
      <c r="D537" s="92">
        <f>IF(Outline!$C$14&gt;0,Gradesheet!AD565,Gradesheet!AK565)</f>
        <v>0</v>
      </c>
      <c r="E537" s="145">
        <f>IF(Outline!$C$14&gt;0,Gradesheet!L565,Gradesheet!AR565)</f>
        <v>0</v>
      </c>
      <c r="F537" s="145">
        <f>IF(Outline!$C$14&gt;0,Gradesheet!AZ565,"NA")</f>
        <v>0</v>
      </c>
      <c r="G537" s="145">
        <f>IF(Outline!$C$14&gt;0,Gradesheet!U535,Gradesheet!AY535)</f>
        <v>0</v>
      </c>
      <c r="H537" s="146">
        <f t="shared" si="9"/>
        <v>0</v>
      </c>
    </row>
    <row r="538" spans="2:8" hidden="1" x14ac:dyDescent="0.25">
      <c r="B538" s="90">
        <f>Gradesheet!A566</f>
        <v>42</v>
      </c>
      <c r="C538" s="91">
        <f>(Gradesheet!B566)</f>
        <v>0</v>
      </c>
      <c r="D538" s="92">
        <f>IF(Outline!$C$14&gt;0,Gradesheet!AD566,Gradesheet!AK566)</f>
        <v>0</v>
      </c>
      <c r="E538" s="145">
        <f>IF(Outline!$C$14&gt;0,Gradesheet!L566,Gradesheet!AR566)</f>
        <v>0</v>
      </c>
      <c r="F538" s="145">
        <f>IF(Outline!$C$14&gt;0,Gradesheet!AZ566,"NA")</f>
        <v>0</v>
      </c>
      <c r="G538" s="145">
        <f>IF(Outline!$C$14&gt;0,Gradesheet!U536,Gradesheet!AY536)</f>
        <v>0</v>
      </c>
      <c r="H538" s="146">
        <f t="shared" si="9"/>
        <v>0</v>
      </c>
    </row>
    <row r="539" spans="2:8" hidden="1" x14ac:dyDescent="0.25">
      <c r="B539" s="90">
        <f>Gradesheet!A567</f>
        <v>0</v>
      </c>
      <c r="C539" s="91">
        <f>(Gradesheet!B567)</f>
        <v>0</v>
      </c>
      <c r="D539" s="92">
        <f>IF(Outline!$C$14&gt;0,Gradesheet!AD567,Gradesheet!AK567)</f>
        <v>0</v>
      </c>
      <c r="E539" s="145">
        <f>IF(Outline!$C$14&gt;0,Gradesheet!L567,Gradesheet!AR567)</f>
        <v>0</v>
      </c>
      <c r="F539" s="145">
        <f>IF(Outline!$C$14&gt;0,Gradesheet!AZ567,"NA")</f>
        <v>0</v>
      </c>
      <c r="G539" s="145">
        <f>IF(Outline!$C$14&gt;0,Gradesheet!U537,Gradesheet!AY537)</f>
        <v>0</v>
      </c>
      <c r="H539" s="146">
        <f t="shared" si="9"/>
        <v>0</v>
      </c>
    </row>
    <row r="540" spans="2:8" hidden="1" x14ac:dyDescent="0.25">
      <c r="B540" s="90">
        <f>Gradesheet!A568</f>
        <v>1</v>
      </c>
      <c r="C540" s="91">
        <f>(Gradesheet!B568)</f>
        <v>0</v>
      </c>
      <c r="D540" s="92">
        <f>IF(Outline!$C$14&gt;0,Gradesheet!AD568,Gradesheet!AK568)</f>
        <v>0</v>
      </c>
      <c r="E540" s="145">
        <f>IF(Outline!$C$14&gt;0,Gradesheet!L568,Gradesheet!AR568)</f>
        <v>0</v>
      </c>
      <c r="F540" s="145">
        <f>IF(Outline!$C$14&gt;0,Gradesheet!AZ568,"NA")</f>
        <v>0</v>
      </c>
      <c r="G540" s="145">
        <f>IF(Outline!$C$14&gt;0,Gradesheet!U538,Gradesheet!AY538)</f>
        <v>0</v>
      </c>
      <c r="H540" s="146">
        <f t="shared" si="9"/>
        <v>0</v>
      </c>
    </row>
    <row r="541" spans="2:8" hidden="1" x14ac:dyDescent="0.25">
      <c r="B541" s="90">
        <f>Gradesheet!A569</f>
        <v>2</v>
      </c>
      <c r="C541" s="91">
        <f>(Gradesheet!B569)</f>
        <v>0</v>
      </c>
      <c r="D541" s="92">
        <f>IF(Outline!$C$14&gt;0,Gradesheet!AD569,Gradesheet!AK569)</f>
        <v>0</v>
      </c>
      <c r="E541" s="145">
        <f>IF(Outline!$C$14&gt;0,Gradesheet!L569,Gradesheet!AR569)</f>
        <v>0</v>
      </c>
      <c r="F541" s="145">
        <f>IF(Outline!$C$14&gt;0,Gradesheet!AZ569,"NA")</f>
        <v>0</v>
      </c>
      <c r="G541" s="145">
        <f>IF(Outline!$C$14&gt;0,Gradesheet!U539,Gradesheet!AY539)</f>
        <v>0</v>
      </c>
      <c r="H541" s="146">
        <f t="shared" si="9"/>
        <v>0</v>
      </c>
    </row>
    <row r="542" spans="2:8" hidden="1" x14ac:dyDescent="0.25">
      <c r="B542" s="90">
        <f>Gradesheet!A570</f>
        <v>3</v>
      </c>
      <c r="C542" s="91">
        <f>(Gradesheet!B570)</f>
        <v>0</v>
      </c>
      <c r="D542" s="92">
        <f>IF(Outline!$C$14&gt;0,Gradesheet!AD570,Gradesheet!AK570)</f>
        <v>0</v>
      </c>
      <c r="E542" s="145">
        <f>IF(Outline!$C$14&gt;0,Gradesheet!L570,Gradesheet!AR570)</f>
        <v>0</v>
      </c>
      <c r="F542" s="145">
        <f>IF(Outline!$C$14&gt;0,Gradesheet!AZ570,"NA")</f>
        <v>0</v>
      </c>
      <c r="G542" s="145">
        <f>IF(Outline!$C$14&gt;0,Gradesheet!U540,Gradesheet!AY540)</f>
        <v>0</v>
      </c>
      <c r="H542" s="146">
        <f t="shared" si="9"/>
        <v>0</v>
      </c>
    </row>
    <row r="543" spans="2:8" hidden="1" x14ac:dyDescent="0.25">
      <c r="B543" s="90">
        <f>Gradesheet!A571</f>
        <v>4</v>
      </c>
      <c r="C543" s="91">
        <f>(Gradesheet!B571)</f>
        <v>0</v>
      </c>
      <c r="D543" s="92">
        <f>IF(Outline!$C$14&gt;0,Gradesheet!AD571,Gradesheet!AK571)</f>
        <v>0</v>
      </c>
      <c r="E543" s="145">
        <f>IF(Outline!$C$14&gt;0,Gradesheet!L571,Gradesheet!AR571)</f>
        <v>0</v>
      </c>
      <c r="F543" s="145">
        <f>IF(Outline!$C$14&gt;0,Gradesheet!AZ571,"NA")</f>
        <v>0</v>
      </c>
      <c r="G543" s="145">
        <f>IF(Outline!$C$14&gt;0,Gradesheet!U541,Gradesheet!AY541)</f>
        <v>0</v>
      </c>
      <c r="H543" s="146">
        <f t="shared" si="9"/>
        <v>0</v>
      </c>
    </row>
    <row r="544" spans="2:8" hidden="1" x14ac:dyDescent="0.25">
      <c r="B544" s="90">
        <f>Gradesheet!A572</f>
        <v>5</v>
      </c>
      <c r="C544" s="91">
        <f>(Gradesheet!B572)</f>
        <v>0</v>
      </c>
      <c r="D544" s="92">
        <f>IF(Outline!$C$14&gt;0,Gradesheet!AD572,Gradesheet!AK572)</f>
        <v>0</v>
      </c>
      <c r="E544" s="145">
        <f>IF(Outline!$C$14&gt;0,Gradesheet!L572,Gradesheet!AR572)</f>
        <v>0</v>
      </c>
      <c r="F544" s="145">
        <f>IF(Outline!$C$14&gt;0,Gradesheet!AZ572,"NA")</f>
        <v>0</v>
      </c>
      <c r="G544" s="145">
        <f>IF(Outline!$C$14&gt;0,Gradesheet!U542,Gradesheet!AY542)</f>
        <v>0</v>
      </c>
      <c r="H544" s="146">
        <f t="shared" si="9"/>
        <v>0</v>
      </c>
    </row>
    <row r="545" spans="2:8" hidden="1" x14ac:dyDescent="0.25">
      <c r="B545" s="90">
        <f>Gradesheet!A573</f>
        <v>6</v>
      </c>
      <c r="C545" s="91">
        <f>(Gradesheet!B573)</f>
        <v>0</v>
      </c>
      <c r="D545" s="92">
        <f>IF(Outline!$C$14&gt;0,Gradesheet!AD573,Gradesheet!AK573)</f>
        <v>0</v>
      </c>
      <c r="E545" s="145">
        <f>IF(Outline!$C$14&gt;0,Gradesheet!L573,Gradesheet!AR573)</f>
        <v>0</v>
      </c>
      <c r="F545" s="145">
        <f>IF(Outline!$C$14&gt;0,Gradesheet!AZ573,"NA")</f>
        <v>0</v>
      </c>
      <c r="G545" s="145">
        <f>IF(Outline!$C$14&gt;0,Gradesheet!U543,Gradesheet!AY543)</f>
        <v>0</v>
      </c>
      <c r="H545" s="146">
        <f t="shared" si="9"/>
        <v>0</v>
      </c>
    </row>
    <row r="546" spans="2:8" hidden="1" x14ac:dyDescent="0.25">
      <c r="B546" s="90">
        <f>Gradesheet!A574</f>
        <v>7</v>
      </c>
      <c r="C546" s="91">
        <f>(Gradesheet!B574)</f>
        <v>0</v>
      </c>
      <c r="D546" s="92">
        <f>IF(Outline!$C$14&gt;0,Gradesheet!AD574,Gradesheet!AK574)</f>
        <v>0</v>
      </c>
      <c r="E546" s="145">
        <f>IF(Outline!$C$14&gt;0,Gradesheet!L574,Gradesheet!AR574)</f>
        <v>0</v>
      </c>
      <c r="F546" s="145">
        <f>IF(Outline!$C$14&gt;0,Gradesheet!AZ574,"NA")</f>
        <v>0</v>
      </c>
      <c r="G546" s="145">
        <f>IF(Outline!$C$14&gt;0,Gradesheet!U544,Gradesheet!AY544)</f>
        <v>0</v>
      </c>
      <c r="H546" s="146">
        <f t="shared" si="9"/>
        <v>0</v>
      </c>
    </row>
    <row r="547" spans="2:8" hidden="1" x14ac:dyDescent="0.25">
      <c r="B547" s="90">
        <f>Gradesheet!A575</f>
        <v>8</v>
      </c>
      <c r="C547" s="91">
        <f>(Gradesheet!B575)</f>
        <v>0</v>
      </c>
      <c r="D547" s="92">
        <f>IF(Outline!$C$14&gt;0,Gradesheet!AD575,Gradesheet!AK575)</f>
        <v>0</v>
      </c>
      <c r="E547" s="145">
        <f>IF(Outline!$C$14&gt;0,Gradesheet!L575,Gradesheet!AR575)</f>
        <v>0</v>
      </c>
      <c r="F547" s="145">
        <f>IF(Outline!$C$14&gt;0,Gradesheet!AZ575,"NA")</f>
        <v>0</v>
      </c>
      <c r="G547" s="145">
        <f>IF(Outline!$C$14&gt;0,Gradesheet!U545,Gradesheet!AY545)</f>
        <v>0</v>
      </c>
      <c r="H547" s="146">
        <f t="shared" si="9"/>
        <v>0</v>
      </c>
    </row>
    <row r="548" spans="2:8" hidden="1" x14ac:dyDescent="0.25">
      <c r="B548" s="90">
        <f>Gradesheet!A576</f>
        <v>9</v>
      </c>
      <c r="C548" s="91">
        <f>(Gradesheet!B576)</f>
        <v>0</v>
      </c>
      <c r="D548" s="92">
        <f>IF(Outline!$C$14&gt;0,Gradesheet!AD576,Gradesheet!AK576)</f>
        <v>0</v>
      </c>
      <c r="E548" s="145">
        <f>IF(Outline!$C$14&gt;0,Gradesheet!L576,Gradesheet!AR576)</f>
        <v>0</v>
      </c>
      <c r="F548" s="145">
        <f>IF(Outline!$C$14&gt;0,Gradesheet!AZ576,"NA")</f>
        <v>0</v>
      </c>
      <c r="G548" s="145">
        <f>IF(Outline!$C$14&gt;0,Gradesheet!U546,Gradesheet!AY546)</f>
        <v>0</v>
      </c>
      <c r="H548" s="146">
        <f t="shared" si="9"/>
        <v>0</v>
      </c>
    </row>
    <row r="549" spans="2:8" hidden="1" x14ac:dyDescent="0.25">
      <c r="B549" s="90">
        <f>Gradesheet!A577</f>
        <v>10</v>
      </c>
      <c r="C549" s="91">
        <f>(Gradesheet!B577)</f>
        <v>0</v>
      </c>
      <c r="D549" s="92">
        <f>IF(Outline!$C$14&gt;0,Gradesheet!AD577,Gradesheet!AK577)</f>
        <v>0</v>
      </c>
      <c r="E549" s="145">
        <f>IF(Outline!$C$14&gt;0,Gradesheet!L577,Gradesheet!AR577)</f>
        <v>0</v>
      </c>
      <c r="F549" s="145">
        <f>IF(Outline!$C$14&gt;0,Gradesheet!AZ577,"NA")</f>
        <v>0</v>
      </c>
      <c r="G549" s="145">
        <f>IF(Outline!$C$14&gt;0,Gradesheet!U547,Gradesheet!AY547)</f>
        <v>0</v>
      </c>
      <c r="H549" s="146">
        <f t="shared" si="9"/>
        <v>0</v>
      </c>
    </row>
    <row r="550" spans="2:8" hidden="1" x14ac:dyDescent="0.25">
      <c r="B550" s="90">
        <f>Gradesheet!A578</f>
        <v>11</v>
      </c>
      <c r="C550" s="91">
        <f>(Gradesheet!B578)</f>
        <v>0</v>
      </c>
      <c r="D550" s="92">
        <f>IF(Outline!$C$14&gt;0,Gradesheet!AD578,Gradesheet!AK578)</f>
        <v>0</v>
      </c>
      <c r="E550" s="145">
        <f>IF(Outline!$C$14&gt;0,Gradesheet!L578,Gradesheet!AR578)</f>
        <v>0</v>
      </c>
      <c r="F550" s="145">
        <f>IF(Outline!$C$14&gt;0,Gradesheet!AZ578,"NA")</f>
        <v>0</v>
      </c>
      <c r="G550" s="145">
        <f>IF(Outline!$C$14&gt;0,Gradesheet!U548,Gradesheet!AY548)</f>
        <v>0</v>
      </c>
      <c r="H550" s="146">
        <f t="shared" si="9"/>
        <v>0</v>
      </c>
    </row>
    <row r="551" spans="2:8" hidden="1" x14ac:dyDescent="0.25">
      <c r="B551" s="90">
        <f>Gradesheet!A579</f>
        <v>12</v>
      </c>
      <c r="C551" s="91">
        <f>(Gradesheet!B579)</f>
        <v>0</v>
      </c>
      <c r="D551" s="92">
        <f>IF(Outline!$C$14&gt;0,Gradesheet!AD579,Gradesheet!AK579)</f>
        <v>0</v>
      </c>
      <c r="E551" s="145">
        <f>IF(Outline!$C$14&gt;0,Gradesheet!L579,Gradesheet!AR579)</f>
        <v>0</v>
      </c>
      <c r="F551" s="145">
        <f>IF(Outline!$C$14&gt;0,Gradesheet!AZ579,"NA")</f>
        <v>0</v>
      </c>
      <c r="G551" s="145">
        <f>IF(Outline!$C$14&gt;0,Gradesheet!U549,Gradesheet!AY549)</f>
        <v>0</v>
      </c>
      <c r="H551" s="146">
        <f t="shared" si="9"/>
        <v>0</v>
      </c>
    </row>
    <row r="552" spans="2:8" hidden="1" x14ac:dyDescent="0.25">
      <c r="B552" s="90">
        <f>Gradesheet!A580</f>
        <v>13</v>
      </c>
      <c r="C552" s="91">
        <f>(Gradesheet!B580)</f>
        <v>0</v>
      </c>
      <c r="D552" s="92">
        <f>IF(Outline!$C$14&gt;0,Gradesheet!AD580,Gradesheet!AK580)</f>
        <v>0</v>
      </c>
      <c r="E552" s="145">
        <f>IF(Outline!$C$14&gt;0,Gradesheet!L580,Gradesheet!AR580)</f>
        <v>0</v>
      </c>
      <c r="F552" s="145">
        <f>IF(Outline!$C$14&gt;0,Gradesheet!AZ580,"NA")</f>
        <v>0</v>
      </c>
      <c r="G552" s="145">
        <f>IF(Outline!$C$14&gt;0,Gradesheet!U550,Gradesheet!AY550)</f>
        <v>0</v>
      </c>
      <c r="H552" s="146">
        <f t="shared" si="9"/>
        <v>0</v>
      </c>
    </row>
    <row r="553" spans="2:8" hidden="1" x14ac:dyDescent="0.25">
      <c r="B553" s="90">
        <f>Gradesheet!A581</f>
        <v>14</v>
      </c>
      <c r="C553" s="91">
        <f>(Gradesheet!B581)</f>
        <v>0</v>
      </c>
      <c r="D553" s="92">
        <f>IF(Outline!$C$14&gt;0,Gradesheet!AD581,Gradesheet!AK581)</f>
        <v>0</v>
      </c>
      <c r="E553" s="145">
        <f>IF(Outline!$C$14&gt;0,Gradesheet!L581,Gradesheet!AR581)</f>
        <v>0</v>
      </c>
      <c r="F553" s="145">
        <f>IF(Outline!$C$14&gt;0,Gradesheet!AZ581,"NA")</f>
        <v>0</v>
      </c>
      <c r="G553" s="145">
        <f>IF(Outline!$C$14&gt;0,Gradesheet!U551,Gradesheet!AY551)</f>
        <v>0</v>
      </c>
      <c r="H553" s="146">
        <f t="shared" si="9"/>
        <v>0</v>
      </c>
    </row>
    <row r="554" spans="2:8" hidden="1" x14ac:dyDescent="0.25">
      <c r="B554" s="90">
        <f>Gradesheet!A582</f>
        <v>15</v>
      </c>
      <c r="C554" s="91">
        <f>(Gradesheet!B582)</f>
        <v>0</v>
      </c>
      <c r="D554" s="92">
        <f>IF(Outline!$C$14&gt;0,Gradesheet!AD582,Gradesheet!AK582)</f>
        <v>0</v>
      </c>
      <c r="E554" s="145">
        <f>IF(Outline!$C$14&gt;0,Gradesheet!L582,Gradesheet!AR582)</f>
        <v>0</v>
      </c>
      <c r="F554" s="145">
        <f>IF(Outline!$C$14&gt;0,Gradesheet!AZ582,"NA")</f>
        <v>0</v>
      </c>
      <c r="G554" s="145">
        <f>IF(Outline!$C$14&gt;0,Gradesheet!U552,Gradesheet!AY552)</f>
        <v>0</v>
      </c>
      <c r="H554" s="146">
        <f t="shared" si="9"/>
        <v>0</v>
      </c>
    </row>
    <row r="555" spans="2:8" hidden="1" x14ac:dyDescent="0.25">
      <c r="B555" s="90">
        <f>Gradesheet!A583</f>
        <v>16</v>
      </c>
      <c r="C555" s="91">
        <f>(Gradesheet!B583)</f>
        <v>0</v>
      </c>
      <c r="D555" s="92">
        <f>IF(Outline!$C$14&gt;0,Gradesheet!AD583,Gradesheet!AK583)</f>
        <v>0</v>
      </c>
      <c r="E555" s="145">
        <f>IF(Outline!$C$14&gt;0,Gradesheet!L583,Gradesheet!AR583)</f>
        <v>0</v>
      </c>
      <c r="F555" s="145">
        <f>IF(Outline!$C$14&gt;0,Gradesheet!AZ583,"NA")</f>
        <v>0</v>
      </c>
      <c r="G555" s="145">
        <f>IF(Outline!$C$14&gt;0,Gradesheet!U553,Gradesheet!AY553)</f>
        <v>0</v>
      </c>
      <c r="H555" s="146">
        <f t="shared" si="9"/>
        <v>0</v>
      </c>
    </row>
    <row r="556" spans="2:8" hidden="1" x14ac:dyDescent="0.25">
      <c r="B556" s="90">
        <f>Gradesheet!A584</f>
        <v>17</v>
      </c>
      <c r="C556" s="91">
        <f>(Gradesheet!B584)</f>
        <v>0</v>
      </c>
      <c r="D556" s="92">
        <f>IF(Outline!$C$14&gt;0,Gradesheet!AD584,Gradesheet!AK584)</f>
        <v>0</v>
      </c>
      <c r="E556" s="145">
        <f>IF(Outline!$C$14&gt;0,Gradesheet!L584,Gradesheet!AR584)</f>
        <v>0</v>
      </c>
      <c r="F556" s="145">
        <f>IF(Outline!$C$14&gt;0,Gradesheet!AZ584,"NA")</f>
        <v>0</v>
      </c>
      <c r="G556" s="145">
        <f>IF(Outline!$C$14&gt;0,Gradesheet!U554,Gradesheet!AY554)</f>
        <v>0</v>
      </c>
      <c r="H556" s="146">
        <f t="shared" si="9"/>
        <v>0</v>
      </c>
    </row>
    <row r="557" spans="2:8" hidden="1" x14ac:dyDescent="0.25">
      <c r="B557" s="90">
        <f>Gradesheet!A585</f>
        <v>18</v>
      </c>
      <c r="C557" s="91">
        <f>(Gradesheet!B585)</f>
        <v>0</v>
      </c>
      <c r="D557" s="92">
        <f>IF(Outline!$C$14&gt;0,Gradesheet!AD585,Gradesheet!AK585)</f>
        <v>0</v>
      </c>
      <c r="E557" s="145">
        <f>IF(Outline!$C$14&gt;0,Gradesheet!L585,Gradesheet!AR585)</f>
        <v>0</v>
      </c>
      <c r="F557" s="145">
        <f>IF(Outline!$C$14&gt;0,Gradesheet!AZ585,"NA")</f>
        <v>0</v>
      </c>
      <c r="G557" s="145">
        <f>IF(Outline!$C$14&gt;0,Gradesheet!U555,Gradesheet!AY555)</f>
        <v>0</v>
      </c>
      <c r="H557" s="146">
        <f t="shared" si="9"/>
        <v>0</v>
      </c>
    </row>
    <row r="558" spans="2:8" hidden="1" x14ac:dyDescent="0.25">
      <c r="B558" s="90">
        <f>Gradesheet!A586</f>
        <v>19</v>
      </c>
      <c r="C558" s="91">
        <f>(Gradesheet!B586)</f>
        <v>0</v>
      </c>
      <c r="D558" s="92">
        <f>IF(Outline!$C$14&gt;0,Gradesheet!AD586,Gradesheet!AK586)</f>
        <v>0</v>
      </c>
      <c r="E558" s="145">
        <f>IF(Outline!$C$14&gt;0,Gradesheet!L586,Gradesheet!AR586)</f>
        <v>0</v>
      </c>
      <c r="F558" s="145">
        <f>IF(Outline!$C$14&gt;0,Gradesheet!AZ586,"NA")</f>
        <v>0</v>
      </c>
      <c r="G558" s="145">
        <f>IF(Outline!$C$14&gt;0,Gradesheet!U556,Gradesheet!AY556)</f>
        <v>0</v>
      </c>
      <c r="H558" s="146">
        <f t="shared" si="9"/>
        <v>0</v>
      </c>
    </row>
    <row r="559" spans="2:8" hidden="1" x14ac:dyDescent="0.25">
      <c r="B559" s="90">
        <f>Gradesheet!A587</f>
        <v>20</v>
      </c>
      <c r="C559" s="91">
        <f>(Gradesheet!B587)</f>
        <v>0</v>
      </c>
      <c r="D559" s="92">
        <f>IF(Outline!$C$14&gt;0,Gradesheet!AD587,Gradesheet!AK587)</f>
        <v>0</v>
      </c>
      <c r="E559" s="145">
        <f>IF(Outline!$C$14&gt;0,Gradesheet!L587,Gradesheet!AR587)</f>
        <v>0</v>
      </c>
      <c r="F559" s="145">
        <f>IF(Outline!$C$14&gt;0,Gradesheet!AZ587,"NA")</f>
        <v>0</v>
      </c>
      <c r="G559" s="145">
        <f>IF(Outline!$C$14&gt;0,Gradesheet!U557,Gradesheet!AY557)</f>
        <v>0</v>
      </c>
      <c r="H559" s="146">
        <f t="shared" si="9"/>
        <v>0</v>
      </c>
    </row>
    <row r="560" spans="2:8" hidden="1" x14ac:dyDescent="0.25">
      <c r="B560" s="90">
        <f>Gradesheet!A588</f>
        <v>21</v>
      </c>
      <c r="C560" s="91">
        <f>(Gradesheet!B588)</f>
        <v>0</v>
      </c>
      <c r="D560" s="92">
        <f>IF(Outline!$C$14&gt;0,Gradesheet!AD588,Gradesheet!AK588)</f>
        <v>0</v>
      </c>
      <c r="E560" s="145">
        <f>IF(Outline!$C$14&gt;0,Gradesheet!L588,Gradesheet!AR588)</f>
        <v>0</v>
      </c>
      <c r="F560" s="145">
        <f>IF(Outline!$C$14&gt;0,Gradesheet!AZ588,"NA")</f>
        <v>0</v>
      </c>
      <c r="G560" s="145">
        <f>IF(Outline!$C$14&gt;0,Gradesheet!U558,Gradesheet!AY558)</f>
        <v>0</v>
      </c>
      <c r="H560" s="146">
        <f t="shared" si="9"/>
        <v>0</v>
      </c>
    </row>
    <row r="561" spans="2:8" hidden="1" x14ac:dyDescent="0.25">
      <c r="B561" s="90">
        <f>Gradesheet!A589</f>
        <v>22</v>
      </c>
      <c r="C561" s="91">
        <f>(Gradesheet!B589)</f>
        <v>0</v>
      </c>
      <c r="D561" s="92">
        <f>IF(Outline!$C$14&gt;0,Gradesheet!AD589,Gradesheet!AK589)</f>
        <v>0</v>
      </c>
      <c r="E561" s="145">
        <f>IF(Outline!$C$14&gt;0,Gradesheet!L589,Gradesheet!AR589)</f>
        <v>0</v>
      </c>
      <c r="F561" s="145">
        <f>IF(Outline!$C$14&gt;0,Gradesheet!AZ589,"NA")</f>
        <v>0</v>
      </c>
      <c r="G561" s="145">
        <f>IF(Outline!$C$14&gt;0,Gradesheet!U559,Gradesheet!AY559)</f>
        <v>0</v>
      </c>
      <c r="H561" s="146">
        <f t="shared" si="9"/>
        <v>0</v>
      </c>
    </row>
    <row r="562" spans="2:8" hidden="1" x14ac:dyDescent="0.25">
      <c r="B562" s="90">
        <f>Gradesheet!A590</f>
        <v>23</v>
      </c>
      <c r="C562" s="91">
        <f>(Gradesheet!B590)</f>
        <v>0</v>
      </c>
      <c r="D562" s="92">
        <f>IF(Outline!$C$14&gt;0,Gradesheet!AD590,Gradesheet!AK590)</f>
        <v>0</v>
      </c>
      <c r="E562" s="145">
        <f>IF(Outline!$C$14&gt;0,Gradesheet!L590,Gradesheet!AR590)</f>
        <v>0</v>
      </c>
      <c r="F562" s="145">
        <f>IF(Outline!$C$14&gt;0,Gradesheet!AZ590,"NA")</f>
        <v>0</v>
      </c>
      <c r="G562" s="145">
        <f>IF(Outline!$C$14&gt;0,Gradesheet!U560,Gradesheet!AY560)</f>
        <v>0</v>
      </c>
      <c r="H562" s="146">
        <f t="shared" si="9"/>
        <v>0</v>
      </c>
    </row>
    <row r="563" spans="2:8" hidden="1" x14ac:dyDescent="0.25">
      <c r="B563" s="90">
        <f>Gradesheet!A591</f>
        <v>24</v>
      </c>
      <c r="C563" s="91">
        <f>(Gradesheet!B591)</f>
        <v>0</v>
      </c>
      <c r="D563" s="92">
        <f>IF(Outline!$C$14&gt;0,Gradesheet!AD591,Gradesheet!AK591)</f>
        <v>0</v>
      </c>
      <c r="E563" s="145">
        <f>IF(Outline!$C$14&gt;0,Gradesheet!L591,Gradesheet!AR591)</f>
        <v>0</v>
      </c>
      <c r="F563" s="145">
        <f>IF(Outline!$C$14&gt;0,Gradesheet!AZ591,"NA")</f>
        <v>0</v>
      </c>
      <c r="G563" s="145">
        <f>IF(Outline!$C$14&gt;0,Gradesheet!U561,Gradesheet!AY561)</f>
        <v>0</v>
      </c>
      <c r="H563" s="146">
        <f t="shared" si="9"/>
        <v>0</v>
      </c>
    </row>
    <row r="564" spans="2:8" hidden="1" x14ac:dyDescent="0.25">
      <c r="B564" s="90">
        <f>Gradesheet!A592</f>
        <v>25</v>
      </c>
      <c r="C564" s="91">
        <f>(Gradesheet!B592)</f>
        <v>0</v>
      </c>
      <c r="D564" s="92">
        <f>IF(Outline!$C$14&gt;0,Gradesheet!AD592,Gradesheet!AK592)</f>
        <v>0</v>
      </c>
      <c r="E564" s="145">
        <f>IF(Outline!$C$14&gt;0,Gradesheet!L592,Gradesheet!AR592)</f>
        <v>0</v>
      </c>
      <c r="F564" s="145">
        <f>IF(Outline!$C$14&gt;0,Gradesheet!AZ592,"NA")</f>
        <v>0</v>
      </c>
      <c r="G564" s="145">
        <f>IF(Outline!$C$14&gt;0,Gradesheet!U562,Gradesheet!AY562)</f>
        <v>0</v>
      </c>
      <c r="H564" s="146">
        <f t="shared" si="9"/>
        <v>0</v>
      </c>
    </row>
    <row r="565" spans="2:8" hidden="1" x14ac:dyDescent="0.25">
      <c r="B565" s="90">
        <f>Gradesheet!A593</f>
        <v>26</v>
      </c>
      <c r="C565" s="91">
        <f>(Gradesheet!B593)</f>
        <v>0</v>
      </c>
      <c r="D565" s="92">
        <f>IF(Outline!$C$14&gt;0,Gradesheet!AD593,Gradesheet!AK593)</f>
        <v>0</v>
      </c>
      <c r="E565" s="145">
        <f>IF(Outline!$C$14&gt;0,Gradesheet!L593,Gradesheet!AR593)</f>
        <v>0</v>
      </c>
      <c r="F565" s="145">
        <f>IF(Outline!$C$14&gt;0,Gradesheet!AZ593,"NA")</f>
        <v>0</v>
      </c>
      <c r="G565" s="145">
        <f>IF(Outline!$C$14&gt;0,Gradesheet!U563,Gradesheet!AY563)</f>
        <v>0</v>
      </c>
      <c r="H565" s="146">
        <f t="shared" si="9"/>
        <v>0</v>
      </c>
    </row>
    <row r="566" spans="2:8" hidden="1" x14ac:dyDescent="0.25">
      <c r="B566" s="90">
        <f>Gradesheet!A594</f>
        <v>27</v>
      </c>
      <c r="C566" s="91">
        <f>(Gradesheet!B594)</f>
        <v>0</v>
      </c>
      <c r="D566" s="92">
        <f>IF(Outline!$C$14&gt;0,Gradesheet!AD594,Gradesheet!AK594)</f>
        <v>0</v>
      </c>
      <c r="E566" s="145">
        <f>IF(Outline!$C$14&gt;0,Gradesheet!L594,Gradesheet!AR594)</f>
        <v>0</v>
      </c>
      <c r="F566" s="145">
        <f>IF(Outline!$C$14&gt;0,Gradesheet!AZ594,"NA")</f>
        <v>0</v>
      </c>
      <c r="G566" s="145">
        <f>IF(Outline!$C$14&gt;0,Gradesheet!U564,Gradesheet!AY564)</f>
        <v>0</v>
      </c>
      <c r="H566" s="146">
        <f t="shared" si="9"/>
        <v>0</v>
      </c>
    </row>
    <row r="567" spans="2:8" hidden="1" x14ac:dyDescent="0.25">
      <c r="B567" s="90">
        <f>Gradesheet!A595</f>
        <v>28</v>
      </c>
      <c r="C567" s="91">
        <f>(Gradesheet!B595)</f>
        <v>0</v>
      </c>
      <c r="D567" s="92">
        <f>IF(Outline!$C$14&gt;0,Gradesheet!AD595,Gradesheet!AK595)</f>
        <v>0</v>
      </c>
      <c r="E567" s="145">
        <f>IF(Outline!$C$14&gt;0,Gradesheet!L595,Gradesheet!AR595)</f>
        <v>0</v>
      </c>
      <c r="F567" s="145">
        <f>IF(Outline!$C$14&gt;0,Gradesheet!AZ595,"NA")</f>
        <v>0</v>
      </c>
      <c r="G567" s="145">
        <f>IF(Outline!$C$14&gt;0,Gradesheet!U565,Gradesheet!AY565)</f>
        <v>0</v>
      </c>
      <c r="H567" s="146">
        <f t="shared" si="9"/>
        <v>0</v>
      </c>
    </row>
    <row r="568" spans="2:8" hidden="1" x14ac:dyDescent="0.25">
      <c r="B568" s="90">
        <f>Gradesheet!A596</f>
        <v>29</v>
      </c>
      <c r="C568" s="91">
        <f>(Gradesheet!B596)</f>
        <v>0</v>
      </c>
      <c r="D568" s="92">
        <f>IF(Outline!$C$14&gt;0,Gradesheet!AD596,Gradesheet!AK596)</f>
        <v>0</v>
      </c>
      <c r="E568" s="145">
        <f>IF(Outline!$C$14&gt;0,Gradesheet!L596,Gradesheet!AR596)</f>
        <v>0</v>
      </c>
      <c r="F568" s="145">
        <f>IF(Outline!$C$14&gt;0,Gradesheet!AZ596,"NA")</f>
        <v>0</v>
      </c>
      <c r="G568" s="145">
        <f>IF(Outline!$C$14&gt;0,Gradesheet!U566,Gradesheet!AY566)</f>
        <v>0</v>
      </c>
      <c r="H568" s="146">
        <f t="shared" si="9"/>
        <v>0</v>
      </c>
    </row>
    <row r="569" spans="2:8" hidden="1" x14ac:dyDescent="0.25">
      <c r="B569" s="90">
        <f>Gradesheet!A597</f>
        <v>30</v>
      </c>
      <c r="C569" s="91">
        <f>(Gradesheet!B597)</f>
        <v>0</v>
      </c>
      <c r="D569" s="92">
        <f>IF(Outline!$C$14&gt;0,Gradesheet!AD597,Gradesheet!AK597)</f>
        <v>0</v>
      </c>
      <c r="E569" s="145">
        <f>IF(Outline!$C$14&gt;0,Gradesheet!L597,Gradesheet!AR597)</f>
        <v>0</v>
      </c>
      <c r="F569" s="145">
        <f>IF(Outline!$C$14&gt;0,Gradesheet!AZ597,"NA")</f>
        <v>0</v>
      </c>
      <c r="G569" s="145">
        <f>IF(Outline!$C$14&gt;0,Gradesheet!U567,Gradesheet!AY567)</f>
        <v>0</v>
      </c>
      <c r="H569" s="146">
        <f t="shared" si="9"/>
        <v>0</v>
      </c>
    </row>
    <row r="570" spans="2:8" hidden="1" x14ac:dyDescent="0.25">
      <c r="B570" s="90">
        <f>Gradesheet!A598</f>
        <v>31</v>
      </c>
      <c r="C570" s="91">
        <f>(Gradesheet!B598)</f>
        <v>0</v>
      </c>
      <c r="D570" s="92">
        <f>IF(Outline!$C$14&gt;0,Gradesheet!AD598,Gradesheet!AK598)</f>
        <v>0</v>
      </c>
      <c r="E570" s="145">
        <f>IF(Outline!$C$14&gt;0,Gradesheet!L598,Gradesheet!AR598)</f>
        <v>0</v>
      </c>
      <c r="F570" s="145">
        <f>IF(Outline!$C$14&gt;0,Gradesheet!AZ598,"NA")</f>
        <v>0</v>
      </c>
      <c r="G570" s="145">
        <f>IF(Outline!$C$14&gt;0,Gradesheet!U568,Gradesheet!AY568)</f>
        <v>0</v>
      </c>
      <c r="H570" s="146">
        <f t="shared" si="9"/>
        <v>0</v>
      </c>
    </row>
    <row r="571" spans="2:8" hidden="1" x14ac:dyDescent="0.25">
      <c r="B571" s="90">
        <f>Gradesheet!A599</f>
        <v>32</v>
      </c>
      <c r="C571" s="91">
        <f>(Gradesheet!B599)</f>
        <v>0</v>
      </c>
      <c r="D571" s="92">
        <f>IF(Outline!$C$14&gt;0,Gradesheet!AD599,Gradesheet!AK599)</f>
        <v>0</v>
      </c>
      <c r="E571" s="145">
        <f>IF(Outline!$C$14&gt;0,Gradesheet!L599,Gradesheet!AR599)</f>
        <v>0</v>
      </c>
      <c r="F571" s="145">
        <f>IF(Outline!$C$14&gt;0,Gradesheet!AZ599,"NA")</f>
        <v>0</v>
      </c>
      <c r="G571" s="145">
        <f>IF(Outline!$C$14&gt;0,Gradesheet!U569,Gradesheet!AY569)</f>
        <v>0</v>
      </c>
      <c r="H571" s="146">
        <f t="shared" si="9"/>
        <v>0</v>
      </c>
    </row>
    <row r="572" spans="2:8" hidden="1" x14ac:dyDescent="0.25">
      <c r="B572" s="90">
        <f>Gradesheet!A600</f>
        <v>33</v>
      </c>
      <c r="C572" s="91">
        <f>(Gradesheet!B600)</f>
        <v>0</v>
      </c>
      <c r="D572" s="92">
        <f>IF(Outline!$C$14&gt;0,Gradesheet!AD600,Gradesheet!AK600)</f>
        <v>0</v>
      </c>
      <c r="E572" s="145">
        <f>IF(Outline!$C$14&gt;0,Gradesheet!L600,Gradesheet!AR600)</f>
        <v>0</v>
      </c>
      <c r="F572" s="145">
        <f>IF(Outline!$C$14&gt;0,Gradesheet!AZ600,"NA")</f>
        <v>0</v>
      </c>
      <c r="G572" s="145">
        <f>IF(Outline!$C$14&gt;0,Gradesheet!U570,Gradesheet!AY570)</f>
        <v>0</v>
      </c>
      <c r="H572" s="146">
        <f t="shared" si="9"/>
        <v>0</v>
      </c>
    </row>
    <row r="573" spans="2:8" hidden="1" x14ac:dyDescent="0.25">
      <c r="B573" s="90">
        <f>Gradesheet!A601</f>
        <v>34</v>
      </c>
      <c r="C573" s="91">
        <f>(Gradesheet!B601)</f>
        <v>0</v>
      </c>
      <c r="D573" s="92">
        <f>IF(Outline!$C$14&gt;0,Gradesheet!AD601,Gradesheet!AK601)</f>
        <v>0</v>
      </c>
      <c r="E573" s="145">
        <f>IF(Outline!$C$14&gt;0,Gradesheet!L601,Gradesheet!AR601)</f>
        <v>0</v>
      </c>
      <c r="F573" s="145">
        <f>IF(Outline!$C$14&gt;0,Gradesheet!AZ601,"NA")</f>
        <v>0</v>
      </c>
      <c r="G573" s="145">
        <f>IF(Outline!$C$14&gt;0,Gradesheet!U571,Gradesheet!AY571)</f>
        <v>0</v>
      </c>
      <c r="H573" s="146">
        <f t="shared" si="9"/>
        <v>0</v>
      </c>
    </row>
    <row r="574" spans="2:8" hidden="1" x14ac:dyDescent="0.25">
      <c r="B574" s="90">
        <f>Gradesheet!A602</f>
        <v>35</v>
      </c>
      <c r="C574" s="91">
        <f>(Gradesheet!B602)</f>
        <v>0</v>
      </c>
      <c r="D574" s="92">
        <f>IF(Outline!$C$14&gt;0,Gradesheet!AD602,Gradesheet!AK602)</f>
        <v>0</v>
      </c>
      <c r="E574" s="145">
        <f>IF(Outline!$C$14&gt;0,Gradesheet!L602,Gradesheet!AR602)</f>
        <v>0</v>
      </c>
      <c r="F574" s="145">
        <f>IF(Outline!$C$14&gt;0,Gradesheet!AZ602,"NA")</f>
        <v>0</v>
      </c>
      <c r="G574" s="145">
        <f>IF(Outline!$C$14&gt;0,Gradesheet!U572,Gradesheet!AY572)</f>
        <v>0</v>
      </c>
      <c r="H574" s="146">
        <f t="shared" si="9"/>
        <v>0</v>
      </c>
    </row>
    <row r="575" spans="2:8" hidden="1" x14ac:dyDescent="0.25">
      <c r="B575" s="90">
        <f>Gradesheet!A603</f>
        <v>36</v>
      </c>
      <c r="C575" s="91">
        <f>(Gradesheet!B603)</f>
        <v>0</v>
      </c>
      <c r="D575" s="92">
        <f>IF(Outline!$C$14&gt;0,Gradesheet!AD603,Gradesheet!AK603)</f>
        <v>0</v>
      </c>
      <c r="E575" s="145">
        <f>IF(Outline!$C$14&gt;0,Gradesheet!L603,Gradesheet!AR603)</f>
        <v>0</v>
      </c>
      <c r="F575" s="145">
        <f>IF(Outline!$C$14&gt;0,Gradesheet!AZ603,"NA")</f>
        <v>0</v>
      </c>
      <c r="G575" s="145">
        <f>IF(Outline!$C$14&gt;0,Gradesheet!U573,Gradesheet!AY573)</f>
        <v>0</v>
      </c>
      <c r="H575" s="146">
        <f t="shared" si="9"/>
        <v>0</v>
      </c>
    </row>
    <row r="576" spans="2:8" hidden="1" x14ac:dyDescent="0.25">
      <c r="B576" s="90">
        <f>Gradesheet!A604</f>
        <v>37</v>
      </c>
      <c r="C576" s="91">
        <f>(Gradesheet!B604)</f>
        <v>0</v>
      </c>
      <c r="D576" s="92">
        <f>IF(Outline!$C$14&gt;0,Gradesheet!AD604,Gradesheet!AK604)</f>
        <v>0</v>
      </c>
      <c r="E576" s="145">
        <f>IF(Outline!$C$14&gt;0,Gradesheet!L604,Gradesheet!AR604)</f>
        <v>0</v>
      </c>
      <c r="F576" s="145">
        <f>IF(Outline!$C$14&gt;0,Gradesheet!AZ604,"NA")</f>
        <v>0</v>
      </c>
      <c r="G576" s="145">
        <f>IF(Outline!$C$14&gt;0,Gradesheet!U574,Gradesheet!AY574)</f>
        <v>0</v>
      </c>
      <c r="H576" s="146">
        <f t="shared" si="9"/>
        <v>0</v>
      </c>
    </row>
    <row r="577" spans="2:8" hidden="1" x14ac:dyDescent="0.25">
      <c r="B577" s="90">
        <f>Gradesheet!A605</f>
        <v>38</v>
      </c>
      <c r="C577" s="91">
        <f>(Gradesheet!B605)</f>
        <v>0</v>
      </c>
      <c r="D577" s="92">
        <f>IF(Outline!$C$14&gt;0,Gradesheet!AD605,Gradesheet!AK605)</f>
        <v>0</v>
      </c>
      <c r="E577" s="145">
        <f>IF(Outline!$C$14&gt;0,Gradesheet!L605,Gradesheet!AR605)</f>
        <v>0</v>
      </c>
      <c r="F577" s="145">
        <f>IF(Outline!$C$14&gt;0,Gradesheet!AZ605,"NA")</f>
        <v>0</v>
      </c>
      <c r="G577" s="145">
        <f>IF(Outline!$C$14&gt;0,Gradesheet!U575,Gradesheet!AY575)</f>
        <v>0</v>
      </c>
      <c r="H577" s="146">
        <f t="shared" si="9"/>
        <v>0</v>
      </c>
    </row>
    <row r="578" spans="2:8" hidden="1" x14ac:dyDescent="0.25">
      <c r="B578" s="90">
        <f>Gradesheet!A606</f>
        <v>39</v>
      </c>
      <c r="C578" s="91">
        <f>(Gradesheet!B606)</f>
        <v>0</v>
      </c>
      <c r="D578" s="92">
        <f>IF(Outline!$C$14&gt;0,Gradesheet!AD606,Gradesheet!AK606)</f>
        <v>0</v>
      </c>
      <c r="E578" s="145">
        <f>IF(Outline!$C$14&gt;0,Gradesheet!L606,Gradesheet!AR606)</f>
        <v>0</v>
      </c>
      <c r="F578" s="145">
        <f>IF(Outline!$C$14&gt;0,Gradesheet!AZ606,"NA")</f>
        <v>0</v>
      </c>
      <c r="G578" s="145">
        <f>IF(Outline!$C$14&gt;0,Gradesheet!U576,Gradesheet!AY576)</f>
        <v>0</v>
      </c>
      <c r="H578" s="146">
        <f t="shared" si="9"/>
        <v>0</v>
      </c>
    </row>
    <row r="579" spans="2:8" hidden="1" x14ac:dyDescent="0.25">
      <c r="B579" s="90">
        <f>Gradesheet!A607</f>
        <v>40</v>
      </c>
      <c r="C579" s="91">
        <f>(Gradesheet!B607)</f>
        <v>0</v>
      </c>
      <c r="D579" s="92">
        <f>IF(Outline!$C$14&gt;0,Gradesheet!AD607,Gradesheet!AK607)</f>
        <v>0</v>
      </c>
      <c r="E579" s="145">
        <f>IF(Outline!$C$14&gt;0,Gradesheet!L607,Gradesheet!AR607)</f>
        <v>0</v>
      </c>
      <c r="F579" s="145">
        <f>IF(Outline!$C$14&gt;0,Gradesheet!AZ607,"NA")</f>
        <v>0</v>
      </c>
      <c r="G579" s="145">
        <f>IF(Outline!$C$14&gt;0,Gradesheet!U577,Gradesheet!AY577)</f>
        <v>0</v>
      </c>
      <c r="H579" s="146">
        <f t="shared" si="9"/>
        <v>0</v>
      </c>
    </row>
    <row r="580" spans="2:8" hidden="1" x14ac:dyDescent="0.25">
      <c r="B580" s="90">
        <f>Gradesheet!A608</f>
        <v>41</v>
      </c>
      <c r="C580" s="91">
        <f>(Gradesheet!B608)</f>
        <v>0</v>
      </c>
      <c r="D580" s="92">
        <f>IF(Outline!$C$14&gt;0,Gradesheet!AD608,Gradesheet!AK608)</f>
        <v>0</v>
      </c>
      <c r="E580" s="145">
        <f>IF(Outline!$C$14&gt;0,Gradesheet!L608,Gradesheet!AR608)</f>
        <v>0</v>
      </c>
      <c r="F580" s="145">
        <f>IF(Outline!$C$14&gt;0,Gradesheet!AZ608,"NA")</f>
        <v>0</v>
      </c>
      <c r="G580" s="145">
        <f>IF(Outline!$C$14&gt;0,Gradesheet!U578,Gradesheet!AY578)</f>
        <v>0</v>
      </c>
      <c r="H580" s="146">
        <f t="shared" si="9"/>
        <v>0</v>
      </c>
    </row>
    <row r="581" spans="2:8" hidden="1" x14ac:dyDescent="0.25">
      <c r="B581" s="90">
        <f>Gradesheet!A609</f>
        <v>42</v>
      </c>
      <c r="C581" s="91">
        <f>(Gradesheet!B609)</f>
        <v>0</v>
      </c>
      <c r="D581" s="92">
        <f>IF(Outline!$C$14&gt;0,Gradesheet!AD609,Gradesheet!AK609)</f>
        <v>0</v>
      </c>
      <c r="E581" s="145">
        <f>IF(Outline!$C$14&gt;0,Gradesheet!L609,Gradesheet!AR609)</f>
        <v>0</v>
      </c>
      <c r="F581" s="145">
        <f>IF(Outline!$C$14&gt;0,Gradesheet!AZ609,"NA")</f>
        <v>0</v>
      </c>
      <c r="G581" s="145">
        <f>IF(Outline!$C$14&gt;0,Gradesheet!U579,Gradesheet!AY579)</f>
        <v>0</v>
      </c>
      <c r="H581" s="146">
        <f t="shared" si="9"/>
        <v>0</v>
      </c>
    </row>
    <row r="582" spans="2:8" hidden="1" x14ac:dyDescent="0.25">
      <c r="B582" s="90">
        <f>Gradesheet!A610</f>
        <v>0</v>
      </c>
      <c r="C582" s="91">
        <f>(Gradesheet!B610)</f>
        <v>0</v>
      </c>
      <c r="D582" s="92">
        <f>IF(Outline!$C$14&gt;0,Gradesheet!AD610,Gradesheet!AK610)</f>
        <v>0</v>
      </c>
      <c r="E582" s="145">
        <f>IF(Outline!$C$14&gt;0,Gradesheet!L610,Gradesheet!AR610)</f>
        <v>0</v>
      </c>
      <c r="F582" s="145">
        <f>IF(Outline!$C$14&gt;0,Gradesheet!AZ610,"NA")</f>
        <v>0</v>
      </c>
      <c r="G582" s="145">
        <f>IF(Outline!$C$14&gt;0,Gradesheet!U580,Gradesheet!AY580)</f>
        <v>0</v>
      </c>
      <c r="H582" s="146">
        <f t="shared" si="9"/>
        <v>0</v>
      </c>
    </row>
    <row r="583" spans="2:8" hidden="1" x14ac:dyDescent="0.25">
      <c r="B583" s="90">
        <f>Gradesheet!A611</f>
        <v>1</v>
      </c>
      <c r="C583" s="91">
        <f>(Gradesheet!B611)</f>
        <v>0</v>
      </c>
      <c r="D583" s="92">
        <f>IF(Outline!$C$14&gt;0,Gradesheet!AD611,Gradesheet!AK611)</f>
        <v>0</v>
      </c>
      <c r="E583" s="145">
        <f>IF(Outline!$C$14&gt;0,Gradesheet!L611,Gradesheet!AR611)</f>
        <v>0</v>
      </c>
      <c r="F583" s="145">
        <f>IF(Outline!$C$14&gt;0,Gradesheet!AZ611,"NA")</f>
        <v>0</v>
      </c>
      <c r="G583" s="145">
        <f>IF(Outline!$C$14&gt;0,Gradesheet!U581,Gradesheet!AY581)</f>
        <v>0</v>
      </c>
      <c r="H583" s="146">
        <f t="shared" ref="H583:H646" si="10">SUM(D583:G583)</f>
        <v>0</v>
      </c>
    </row>
    <row r="584" spans="2:8" hidden="1" x14ac:dyDescent="0.25">
      <c r="B584" s="90">
        <f>Gradesheet!A612</f>
        <v>2</v>
      </c>
      <c r="C584" s="91">
        <f>(Gradesheet!B612)</f>
        <v>0</v>
      </c>
      <c r="D584" s="92">
        <f>IF(Outline!$C$14&gt;0,Gradesheet!AD612,Gradesheet!AK612)</f>
        <v>0</v>
      </c>
      <c r="E584" s="145">
        <f>IF(Outline!$C$14&gt;0,Gradesheet!L612,Gradesheet!AR612)</f>
        <v>0</v>
      </c>
      <c r="F584" s="145">
        <f>IF(Outline!$C$14&gt;0,Gradesheet!AZ612,"NA")</f>
        <v>0</v>
      </c>
      <c r="G584" s="145">
        <f>IF(Outline!$C$14&gt;0,Gradesheet!U582,Gradesheet!AY582)</f>
        <v>0</v>
      </c>
      <c r="H584" s="146">
        <f t="shared" si="10"/>
        <v>0</v>
      </c>
    </row>
    <row r="585" spans="2:8" hidden="1" x14ac:dyDescent="0.25">
      <c r="B585" s="90">
        <f>Gradesheet!A613</f>
        <v>3</v>
      </c>
      <c r="C585" s="91">
        <f>(Gradesheet!B613)</f>
        <v>0</v>
      </c>
      <c r="D585" s="92">
        <f>IF(Outline!$C$14&gt;0,Gradesheet!AD613,Gradesheet!AK613)</f>
        <v>0</v>
      </c>
      <c r="E585" s="145">
        <f>IF(Outline!$C$14&gt;0,Gradesheet!L613,Gradesheet!AR613)</f>
        <v>0</v>
      </c>
      <c r="F585" s="145">
        <f>IF(Outline!$C$14&gt;0,Gradesheet!AZ613,"NA")</f>
        <v>0</v>
      </c>
      <c r="G585" s="145">
        <f>IF(Outline!$C$14&gt;0,Gradesheet!U583,Gradesheet!AY583)</f>
        <v>0</v>
      </c>
      <c r="H585" s="146">
        <f t="shared" si="10"/>
        <v>0</v>
      </c>
    </row>
    <row r="586" spans="2:8" hidden="1" x14ac:dyDescent="0.25">
      <c r="B586" s="90">
        <f>Gradesheet!A614</f>
        <v>4</v>
      </c>
      <c r="C586" s="91">
        <f>(Gradesheet!B614)</f>
        <v>0</v>
      </c>
      <c r="D586" s="92">
        <f>IF(Outline!$C$14&gt;0,Gradesheet!AD614,Gradesheet!AK614)</f>
        <v>0</v>
      </c>
      <c r="E586" s="145">
        <f>IF(Outline!$C$14&gt;0,Gradesheet!L614,Gradesheet!AR614)</f>
        <v>0</v>
      </c>
      <c r="F586" s="145">
        <f>IF(Outline!$C$14&gt;0,Gradesheet!AZ614,"NA")</f>
        <v>0</v>
      </c>
      <c r="G586" s="145">
        <f>IF(Outline!$C$14&gt;0,Gradesheet!U584,Gradesheet!AY584)</f>
        <v>0</v>
      </c>
      <c r="H586" s="146">
        <f t="shared" si="10"/>
        <v>0</v>
      </c>
    </row>
    <row r="587" spans="2:8" hidden="1" x14ac:dyDescent="0.25">
      <c r="B587" s="90">
        <f>Gradesheet!A615</f>
        <v>5</v>
      </c>
      <c r="C587" s="91">
        <f>(Gradesheet!B615)</f>
        <v>0</v>
      </c>
      <c r="D587" s="92">
        <f>IF(Outline!$C$14&gt;0,Gradesheet!AD615,Gradesheet!AK615)</f>
        <v>0</v>
      </c>
      <c r="E587" s="145">
        <f>IF(Outline!$C$14&gt;0,Gradesheet!L615,Gradesheet!AR615)</f>
        <v>0</v>
      </c>
      <c r="F587" s="145">
        <f>IF(Outline!$C$14&gt;0,Gradesheet!AZ615,"NA")</f>
        <v>0</v>
      </c>
      <c r="G587" s="145">
        <f>IF(Outline!$C$14&gt;0,Gradesheet!U585,Gradesheet!AY585)</f>
        <v>0</v>
      </c>
      <c r="H587" s="146">
        <f t="shared" si="10"/>
        <v>0</v>
      </c>
    </row>
    <row r="588" spans="2:8" hidden="1" x14ac:dyDescent="0.25">
      <c r="B588" s="90">
        <f>Gradesheet!A616</f>
        <v>6</v>
      </c>
      <c r="C588" s="91">
        <f>(Gradesheet!B616)</f>
        <v>0</v>
      </c>
      <c r="D588" s="92">
        <f>IF(Outline!$C$14&gt;0,Gradesheet!AD616,Gradesheet!AK616)</f>
        <v>0</v>
      </c>
      <c r="E588" s="145">
        <f>IF(Outline!$C$14&gt;0,Gradesheet!L616,Gradesheet!AR616)</f>
        <v>0</v>
      </c>
      <c r="F588" s="145">
        <f>IF(Outline!$C$14&gt;0,Gradesheet!AZ616,"NA")</f>
        <v>0</v>
      </c>
      <c r="G588" s="145">
        <f>IF(Outline!$C$14&gt;0,Gradesheet!U586,Gradesheet!AY586)</f>
        <v>0</v>
      </c>
      <c r="H588" s="146">
        <f t="shared" si="10"/>
        <v>0</v>
      </c>
    </row>
    <row r="589" spans="2:8" hidden="1" x14ac:dyDescent="0.25">
      <c r="B589" s="90">
        <f>Gradesheet!A617</f>
        <v>7</v>
      </c>
      <c r="C589" s="91">
        <f>(Gradesheet!B617)</f>
        <v>0</v>
      </c>
      <c r="D589" s="92">
        <f>IF(Outline!$C$14&gt;0,Gradesheet!AD617,Gradesheet!AK617)</f>
        <v>0</v>
      </c>
      <c r="E589" s="145">
        <f>IF(Outline!$C$14&gt;0,Gradesheet!L617,Gradesheet!AR617)</f>
        <v>0</v>
      </c>
      <c r="F589" s="145">
        <f>IF(Outline!$C$14&gt;0,Gradesheet!AZ617,"NA")</f>
        <v>0</v>
      </c>
      <c r="G589" s="145">
        <f>IF(Outline!$C$14&gt;0,Gradesheet!U587,Gradesheet!AY587)</f>
        <v>0</v>
      </c>
      <c r="H589" s="146">
        <f t="shared" si="10"/>
        <v>0</v>
      </c>
    </row>
    <row r="590" spans="2:8" hidden="1" x14ac:dyDescent="0.25">
      <c r="B590" s="90">
        <f>Gradesheet!A618</f>
        <v>8</v>
      </c>
      <c r="C590" s="91">
        <f>(Gradesheet!B618)</f>
        <v>0</v>
      </c>
      <c r="D590" s="92">
        <f>IF(Outline!$C$14&gt;0,Gradesheet!AD618,Gradesheet!AK618)</f>
        <v>0</v>
      </c>
      <c r="E590" s="145">
        <f>IF(Outline!$C$14&gt;0,Gradesheet!L618,Gradesheet!AR618)</f>
        <v>0</v>
      </c>
      <c r="F590" s="145">
        <f>IF(Outline!$C$14&gt;0,Gradesheet!AZ618,"NA")</f>
        <v>0</v>
      </c>
      <c r="G590" s="145">
        <f>IF(Outline!$C$14&gt;0,Gradesheet!U588,Gradesheet!AY588)</f>
        <v>0</v>
      </c>
      <c r="H590" s="146">
        <f t="shared" si="10"/>
        <v>0</v>
      </c>
    </row>
    <row r="591" spans="2:8" hidden="1" x14ac:dyDescent="0.25">
      <c r="B591" s="90">
        <f>Gradesheet!A619</f>
        <v>9</v>
      </c>
      <c r="C591" s="91">
        <f>(Gradesheet!B619)</f>
        <v>0</v>
      </c>
      <c r="D591" s="92">
        <f>IF(Outline!$C$14&gt;0,Gradesheet!AD619,Gradesheet!AK619)</f>
        <v>0</v>
      </c>
      <c r="E591" s="145">
        <f>IF(Outline!$C$14&gt;0,Gradesheet!L619,Gradesheet!AR619)</f>
        <v>0</v>
      </c>
      <c r="F591" s="145">
        <f>IF(Outline!$C$14&gt;0,Gradesheet!AZ619,"NA")</f>
        <v>0</v>
      </c>
      <c r="G591" s="145">
        <f>IF(Outline!$C$14&gt;0,Gradesheet!U589,Gradesheet!AY589)</f>
        <v>0</v>
      </c>
      <c r="H591" s="146">
        <f t="shared" si="10"/>
        <v>0</v>
      </c>
    </row>
    <row r="592" spans="2:8" hidden="1" x14ac:dyDescent="0.25">
      <c r="B592" s="90">
        <f>Gradesheet!A620</f>
        <v>10</v>
      </c>
      <c r="C592" s="91">
        <f>(Gradesheet!B620)</f>
        <v>0</v>
      </c>
      <c r="D592" s="92">
        <f>IF(Outline!$C$14&gt;0,Gradesheet!AD620,Gradesheet!AK620)</f>
        <v>0</v>
      </c>
      <c r="E592" s="145">
        <f>IF(Outline!$C$14&gt;0,Gradesheet!L620,Gradesheet!AR620)</f>
        <v>0</v>
      </c>
      <c r="F592" s="145">
        <f>IF(Outline!$C$14&gt;0,Gradesheet!AZ620,"NA")</f>
        <v>0</v>
      </c>
      <c r="G592" s="145">
        <f>IF(Outline!$C$14&gt;0,Gradesheet!U590,Gradesheet!AY590)</f>
        <v>0</v>
      </c>
      <c r="H592" s="146">
        <f t="shared" si="10"/>
        <v>0</v>
      </c>
    </row>
    <row r="593" spans="2:8" hidden="1" x14ac:dyDescent="0.25">
      <c r="B593" s="90">
        <f>Gradesheet!A621</f>
        <v>11</v>
      </c>
      <c r="C593" s="91">
        <f>(Gradesheet!B621)</f>
        <v>0</v>
      </c>
      <c r="D593" s="92">
        <f>IF(Outline!$C$14&gt;0,Gradesheet!AD621,Gradesheet!AK621)</f>
        <v>0</v>
      </c>
      <c r="E593" s="145">
        <f>IF(Outline!$C$14&gt;0,Gradesheet!L621,Gradesheet!AR621)</f>
        <v>0</v>
      </c>
      <c r="F593" s="145">
        <f>IF(Outline!$C$14&gt;0,Gradesheet!AZ621,"NA")</f>
        <v>0</v>
      </c>
      <c r="G593" s="145">
        <f>IF(Outline!$C$14&gt;0,Gradesheet!U591,Gradesheet!AY591)</f>
        <v>0</v>
      </c>
      <c r="H593" s="146">
        <f t="shared" si="10"/>
        <v>0</v>
      </c>
    </row>
    <row r="594" spans="2:8" hidden="1" x14ac:dyDescent="0.25">
      <c r="B594" s="90">
        <f>Gradesheet!A622</f>
        <v>12</v>
      </c>
      <c r="C594" s="91">
        <f>(Gradesheet!B622)</f>
        <v>0</v>
      </c>
      <c r="D594" s="92">
        <f>IF(Outline!$C$14&gt;0,Gradesheet!AD622,Gradesheet!AK622)</f>
        <v>0</v>
      </c>
      <c r="E594" s="145">
        <f>IF(Outline!$C$14&gt;0,Gradesheet!L622,Gradesheet!AR622)</f>
        <v>0</v>
      </c>
      <c r="F594" s="145">
        <f>IF(Outline!$C$14&gt;0,Gradesheet!AZ622,"NA")</f>
        <v>0</v>
      </c>
      <c r="G594" s="145">
        <f>IF(Outline!$C$14&gt;0,Gradesheet!U592,Gradesheet!AY592)</f>
        <v>0</v>
      </c>
      <c r="H594" s="146">
        <f t="shared" si="10"/>
        <v>0</v>
      </c>
    </row>
    <row r="595" spans="2:8" hidden="1" x14ac:dyDescent="0.25">
      <c r="B595" s="90">
        <f>Gradesheet!A623</f>
        <v>13</v>
      </c>
      <c r="C595" s="91">
        <f>(Gradesheet!B623)</f>
        <v>0</v>
      </c>
      <c r="D595" s="92">
        <f>IF(Outline!$C$14&gt;0,Gradesheet!AD623,Gradesheet!AK623)</f>
        <v>0</v>
      </c>
      <c r="E595" s="145">
        <f>IF(Outline!$C$14&gt;0,Gradesheet!L623,Gradesheet!AR623)</f>
        <v>0</v>
      </c>
      <c r="F595" s="145">
        <f>IF(Outline!$C$14&gt;0,Gradesheet!AZ623,"NA")</f>
        <v>0</v>
      </c>
      <c r="G595" s="145">
        <f>IF(Outline!$C$14&gt;0,Gradesheet!U593,Gradesheet!AY593)</f>
        <v>0</v>
      </c>
      <c r="H595" s="146">
        <f t="shared" si="10"/>
        <v>0</v>
      </c>
    </row>
    <row r="596" spans="2:8" hidden="1" x14ac:dyDescent="0.25">
      <c r="B596" s="90">
        <f>Gradesheet!A624</f>
        <v>14</v>
      </c>
      <c r="C596" s="91">
        <f>(Gradesheet!B624)</f>
        <v>0</v>
      </c>
      <c r="D596" s="92">
        <f>IF(Outline!$C$14&gt;0,Gradesheet!AD624,Gradesheet!AK624)</f>
        <v>0</v>
      </c>
      <c r="E596" s="145">
        <f>IF(Outline!$C$14&gt;0,Gradesheet!L624,Gradesheet!AR624)</f>
        <v>0</v>
      </c>
      <c r="F596" s="145">
        <f>IF(Outline!$C$14&gt;0,Gradesheet!AZ624,"NA")</f>
        <v>0</v>
      </c>
      <c r="G596" s="145">
        <f>IF(Outline!$C$14&gt;0,Gradesheet!U594,Gradesheet!AY594)</f>
        <v>0</v>
      </c>
      <c r="H596" s="146">
        <f t="shared" si="10"/>
        <v>0</v>
      </c>
    </row>
    <row r="597" spans="2:8" hidden="1" x14ac:dyDescent="0.25">
      <c r="B597" s="90">
        <f>Gradesheet!A625</f>
        <v>15</v>
      </c>
      <c r="C597" s="91">
        <f>(Gradesheet!B625)</f>
        <v>0</v>
      </c>
      <c r="D597" s="92">
        <f>IF(Outline!$C$14&gt;0,Gradesheet!AD625,Gradesheet!AK625)</f>
        <v>0</v>
      </c>
      <c r="E597" s="145">
        <f>IF(Outline!$C$14&gt;0,Gradesheet!L625,Gradesheet!AR625)</f>
        <v>0</v>
      </c>
      <c r="F597" s="145">
        <f>IF(Outline!$C$14&gt;0,Gradesheet!AZ625,"NA")</f>
        <v>0</v>
      </c>
      <c r="G597" s="145">
        <f>IF(Outline!$C$14&gt;0,Gradesheet!U595,Gradesheet!AY595)</f>
        <v>0</v>
      </c>
      <c r="H597" s="146">
        <f t="shared" si="10"/>
        <v>0</v>
      </c>
    </row>
    <row r="598" spans="2:8" hidden="1" x14ac:dyDescent="0.25">
      <c r="B598" s="90">
        <f>Gradesheet!A626</f>
        <v>16</v>
      </c>
      <c r="C598" s="91">
        <f>(Gradesheet!B626)</f>
        <v>0</v>
      </c>
      <c r="D598" s="92">
        <f>IF(Outline!$C$14&gt;0,Gradesheet!AD626,Gradesheet!AK626)</f>
        <v>0</v>
      </c>
      <c r="E598" s="145">
        <f>IF(Outline!$C$14&gt;0,Gradesheet!L626,Gradesheet!AR626)</f>
        <v>0</v>
      </c>
      <c r="F598" s="145">
        <f>IF(Outline!$C$14&gt;0,Gradesheet!AZ626,"NA")</f>
        <v>0</v>
      </c>
      <c r="G598" s="145">
        <f>IF(Outline!$C$14&gt;0,Gradesheet!U596,Gradesheet!AY596)</f>
        <v>0</v>
      </c>
      <c r="H598" s="146">
        <f t="shared" si="10"/>
        <v>0</v>
      </c>
    </row>
    <row r="599" spans="2:8" hidden="1" x14ac:dyDescent="0.25">
      <c r="B599" s="90">
        <f>Gradesheet!A627</f>
        <v>17</v>
      </c>
      <c r="C599" s="91">
        <f>(Gradesheet!B627)</f>
        <v>0</v>
      </c>
      <c r="D599" s="92">
        <f>IF(Outline!$C$14&gt;0,Gradesheet!AD627,Gradesheet!AK627)</f>
        <v>0</v>
      </c>
      <c r="E599" s="145">
        <f>IF(Outline!$C$14&gt;0,Gradesheet!L627,Gradesheet!AR627)</f>
        <v>0</v>
      </c>
      <c r="F599" s="145">
        <f>IF(Outline!$C$14&gt;0,Gradesheet!AZ627,"NA")</f>
        <v>0</v>
      </c>
      <c r="G599" s="145">
        <f>IF(Outline!$C$14&gt;0,Gradesheet!U597,Gradesheet!AY597)</f>
        <v>0</v>
      </c>
      <c r="H599" s="146">
        <f t="shared" si="10"/>
        <v>0</v>
      </c>
    </row>
    <row r="600" spans="2:8" hidden="1" x14ac:dyDescent="0.25">
      <c r="B600" s="90">
        <f>Gradesheet!A628</f>
        <v>18</v>
      </c>
      <c r="C600" s="91">
        <f>(Gradesheet!B628)</f>
        <v>0</v>
      </c>
      <c r="D600" s="92">
        <f>IF(Outline!$C$14&gt;0,Gradesheet!AD628,Gradesheet!AK628)</f>
        <v>0</v>
      </c>
      <c r="E600" s="145">
        <f>IF(Outline!$C$14&gt;0,Gradesheet!L628,Gradesheet!AR628)</f>
        <v>0</v>
      </c>
      <c r="F600" s="145">
        <f>IF(Outline!$C$14&gt;0,Gradesheet!AZ628,"NA")</f>
        <v>0</v>
      </c>
      <c r="G600" s="145">
        <f>IF(Outline!$C$14&gt;0,Gradesheet!U598,Gradesheet!AY598)</f>
        <v>0</v>
      </c>
      <c r="H600" s="146">
        <f t="shared" si="10"/>
        <v>0</v>
      </c>
    </row>
    <row r="601" spans="2:8" hidden="1" x14ac:dyDescent="0.25">
      <c r="B601" s="90">
        <f>Gradesheet!A629</f>
        <v>19</v>
      </c>
      <c r="C601" s="91">
        <f>(Gradesheet!B629)</f>
        <v>0</v>
      </c>
      <c r="D601" s="92">
        <f>IF(Outline!$C$14&gt;0,Gradesheet!AD629,Gradesheet!AK629)</f>
        <v>0</v>
      </c>
      <c r="E601" s="145">
        <f>IF(Outline!$C$14&gt;0,Gradesheet!L629,Gradesheet!AR629)</f>
        <v>0</v>
      </c>
      <c r="F601" s="145">
        <f>IF(Outline!$C$14&gt;0,Gradesheet!AZ629,"NA")</f>
        <v>0</v>
      </c>
      <c r="G601" s="145">
        <f>IF(Outline!$C$14&gt;0,Gradesheet!U599,Gradesheet!AY599)</f>
        <v>0</v>
      </c>
      <c r="H601" s="146">
        <f t="shared" si="10"/>
        <v>0</v>
      </c>
    </row>
    <row r="602" spans="2:8" hidden="1" x14ac:dyDescent="0.25">
      <c r="B602" s="90">
        <f>Gradesheet!A630</f>
        <v>20</v>
      </c>
      <c r="C602" s="91">
        <f>(Gradesheet!B630)</f>
        <v>0</v>
      </c>
      <c r="D602" s="92">
        <f>IF(Outline!$C$14&gt;0,Gradesheet!AD630,Gradesheet!AK630)</f>
        <v>0</v>
      </c>
      <c r="E602" s="145">
        <f>IF(Outline!$C$14&gt;0,Gradesheet!L630,Gradesheet!AR630)</f>
        <v>0</v>
      </c>
      <c r="F602" s="145">
        <f>IF(Outline!$C$14&gt;0,Gradesheet!AZ630,"NA")</f>
        <v>0</v>
      </c>
      <c r="G602" s="145">
        <f>IF(Outline!$C$14&gt;0,Gradesheet!U600,Gradesheet!AY600)</f>
        <v>0</v>
      </c>
      <c r="H602" s="146">
        <f t="shared" si="10"/>
        <v>0</v>
      </c>
    </row>
    <row r="603" spans="2:8" hidden="1" x14ac:dyDescent="0.25">
      <c r="B603" s="90">
        <f>Gradesheet!A631</f>
        <v>21</v>
      </c>
      <c r="C603" s="91">
        <f>(Gradesheet!B631)</f>
        <v>0</v>
      </c>
      <c r="D603" s="92">
        <f>IF(Outline!$C$14&gt;0,Gradesheet!AD631,Gradesheet!AK631)</f>
        <v>0</v>
      </c>
      <c r="E603" s="145">
        <f>IF(Outline!$C$14&gt;0,Gradesheet!L631,Gradesheet!AR631)</f>
        <v>0</v>
      </c>
      <c r="F603" s="145">
        <f>IF(Outline!$C$14&gt;0,Gradesheet!AZ631,"NA")</f>
        <v>0</v>
      </c>
      <c r="G603" s="145">
        <f>IF(Outline!$C$14&gt;0,Gradesheet!U601,Gradesheet!AY601)</f>
        <v>0</v>
      </c>
      <c r="H603" s="146">
        <f t="shared" si="10"/>
        <v>0</v>
      </c>
    </row>
    <row r="604" spans="2:8" hidden="1" x14ac:dyDescent="0.25">
      <c r="B604" s="90">
        <f>Gradesheet!A632</f>
        <v>22</v>
      </c>
      <c r="C604" s="91">
        <f>(Gradesheet!B632)</f>
        <v>0</v>
      </c>
      <c r="D604" s="92">
        <f>IF(Outline!$C$14&gt;0,Gradesheet!AD632,Gradesheet!AK632)</f>
        <v>0</v>
      </c>
      <c r="E604" s="145">
        <f>IF(Outline!$C$14&gt;0,Gradesheet!L632,Gradesheet!AR632)</f>
        <v>0</v>
      </c>
      <c r="F604" s="145">
        <f>IF(Outline!$C$14&gt;0,Gradesheet!AZ632,"NA")</f>
        <v>0</v>
      </c>
      <c r="G604" s="145">
        <f>IF(Outline!$C$14&gt;0,Gradesheet!U602,Gradesheet!AY602)</f>
        <v>0</v>
      </c>
      <c r="H604" s="146">
        <f t="shared" si="10"/>
        <v>0</v>
      </c>
    </row>
    <row r="605" spans="2:8" hidden="1" x14ac:dyDescent="0.25">
      <c r="B605" s="90">
        <f>Gradesheet!A633</f>
        <v>23</v>
      </c>
      <c r="C605" s="91">
        <f>(Gradesheet!B633)</f>
        <v>0</v>
      </c>
      <c r="D605" s="92">
        <f>IF(Outline!$C$14&gt;0,Gradesheet!AD633,Gradesheet!AK633)</f>
        <v>0</v>
      </c>
      <c r="E605" s="145">
        <f>IF(Outline!$C$14&gt;0,Gradesheet!L633,Gradesheet!AR633)</f>
        <v>0</v>
      </c>
      <c r="F605" s="145">
        <f>IF(Outline!$C$14&gt;0,Gradesheet!AZ633,"NA")</f>
        <v>0</v>
      </c>
      <c r="G605" s="145">
        <f>IF(Outline!$C$14&gt;0,Gradesheet!U603,Gradesheet!AY603)</f>
        <v>0</v>
      </c>
      <c r="H605" s="146">
        <f t="shared" si="10"/>
        <v>0</v>
      </c>
    </row>
    <row r="606" spans="2:8" hidden="1" x14ac:dyDescent="0.25">
      <c r="B606" s="90">
        <f>Gradesheet!A634</f>
        <v>24</v>
      </c>
      <c r="C606" s="91">
        <f>(Gradesheet!B634)</f>
        <v>0</v>
      </c>
      <c r="D606" s="92">
        <f>IF(Outline!$C$14&gt;0,Gradesheet!AD634,Gradesheet!AK634)</f>
        <v>0</v>
      </c>
      <c r="E606" s="145">
        <f>IF(Outline!$C$14&gt;0,Gradesheet!L634,Gradesheet!AR634)</f>
        <v>0</v>
      </c>
      <c r="F606" s="145">
        <f>IF(Outline!$C$14&gt;0,Gradesheet!AZ634,"NA")</f>
        <v>0</v>
      </c>
      <c r="G606" s="145">
        <f>IF(Outline!$C$14&gt;0,Gradesheet!U604,Gradesheet!AY604)</f>
        <v>0</v>
      </c>
      <c r="H606" s="146">
        <f t="shared" si="10"/>
        <v>0</v>
      </c>
    </row>
    <row r="607" spans="2:8" hidden="1" x14ac:dyDescent="0.25">
      <c r="B607" s="90">
        <f>Gradesheet!A635</f>
        <v>25</v>
      </c>
      <c r="C607" s="91">
        <f>(Gradesheet!B635)</f>
        <v>0</v>
      </c>
      <c r="D607" s="92">
        <f>IF(Outline!$C$14&gt;0,Gradesheet!AD635,Gradesheet!AK635)</f>
        <v>0</v>
      </c>
      <c r="E607" s="145">
        <f>IF(Outline!$C$14&gt;0,Gradesheet!L635,Gradesheet!AR635)</f>
        <v>0</v>
      </c>
      <c r="F607" s="145">
        <f>IF(Outline!$C$14&gt;0,Gradesheet!AZ635,"NA")</f>
        <v>0</v>
      </c>
      <c r="G607" s="145">
        <f>IF(Outline!$C$14&gt;0,Gradesheet!U605,Gradesheet!AY605)</f>
        <v>0</v>
      </c>
      <c r="H607" s="146">
        <f t="shared" si="10"/>
        <v>0</v>
      </c>
    </row>
    <row r="608" spans="2:8" hidden="1" x14ac:dyDescent="0.25">
      <c r="B608" s="90">
        <f>Gradesheet!A636</f>
        <v>26</v>
      </c>
      <c r="C608" s="91">
        <f>(Gradesheet!B636)</f>
        <v>0</v>
      </c>
      <c r="D608" s="92">
        <f>IF(Outline!$C$14&gt;0,Gradesheet!AD636,Gradesheet!AK636)</f>
        <v>0</v>
      </c>
      <c r="E608" s="145">
        <f>IF(Outline!$C$14&gt;0,Gradesheet!L636,Gradesheet!AR636)</f>
        <v>0</v>
      </c>
      <c r="F608" s="145">
        <f>IF(Outline!$C$14&gt;0,Gradesheet!AZ636,"NA")</f>
        <v>0</v>
      </c>
      <c r="G608" s="145">
        <f>IF(Outline!$C$14&gt;0,Gradesheet!U606,Gradesheet!AY606)</f>
        <v>0</v>
      </c>
      <c r="H608" s="146">
        <f t="shared" si="10"/>
        <v>0</v>
      </c>
    </row>
    <row r="609" spans="2:8" hidden="1" x14ac:dyDescent="0.25">
      <c r="B609" s="90">
        <f>Gradesheet!A637</f>
        <v>27</v>
      </c>
      <c r="C609" s="91">
        <f>(Gradesheet!B637)</f>
        <v>0</v>
      </c>
      <c r="D609" s="92">
        <f>IF(Outline!$C$14&gt;0,Gradesheet!AD637,Gradesheet!AK637)</f>
        <v>0</v>
      </c>
      <c r="E609" s="145">
        <f>IF(Outline!$C$14&gt;0,Gradesheet!L637,Gradesheet!AR637)</f>
        <v>0</v>
      </c>
      <c r="F609" s="145">
        <f>IF(Outline!$C$14&gt;0,Gradesheet!AZ637,"NA")</f>
        <v>0</v>
      </c>
      <c r="G609" s="145">
        <f>IF(Outline!$C$14&gt;0,Gradesheet!U607,Gradesheet!AY607)</f>
        <v>0</v>
      </c>
      <c r="H609" s="146">
        <f t="shared" si="10"/>
        <v>0</v>
      </c>
    </row>
    <row r="610" spans="2:8" hidden="1" x14ac:dyDescent="0.25">
      <c r="B610" s="90">
        <f>Gradesheet!A638</f>
        <v>28</v>
      </c>
      <c r="C610" s="91">
        <f>(Gradesheet!B638)</f>
        <v>0</v>
      </c>
      <c r="D610" s="92">
        <f>IF(Outline!$C$14&gt;0,Gradesheet!AD638,Gradesheet!AK638)</f>
        <v>0</v>
      </c>
      <c r="E610" s="145">
        <f>IF(Outline!$C$14&gt;0,Gradesheet!L638,Gradesheet!AR638)</f>
        <v>0</v>
      </c>
      <c r="F610" s="145">
        <f>IF(Outline!$C$14&gt;0,Gradesheet!AZ638,"NA")</f>
        <v>0</v>
      </c>
      <c r="G610" s="145">
        <f>IF(Outline!$C$14&gt;0,Gradesheet!U608,Gradesheet!AY608)</f>
        <v>0</v>
      </c>
      <c r="H610" s="146">
        <f t="shared" si="10"/>
        <v>0</v>
      </c>
    </row>
    <row r="611" spans="2:8" hidden="1" x14ac:dyDescent="0.25">
      <c r="B611" s="90">
        <f>Gradesheet!A639</f>
        <v>29</v>
      </c>
      <c r="C611" s="91">
        <f>(Gradesheet!B639)</f>
        <v>0</v>
      </c>
      <c r="D611" s="92">
        <f>IF(Outline!$C$14&gt;0,Gradesheet!AD639,Gradesheet!AK639)</f>
        <v>0</v>
      </c>
      <c r="E611" s="145">
        <f>IF(Outline!$C$14&gt;0,Gradesheet!L639,Gradesheet!AR639)</f>
        <v>0</v>
      </c>
      <c r="F611" s="145">
        <f>IF(Outline!$C$14&gt;0,Gradesheet!AZ639,"NA")</f>
        <v>0</v>
      </c>
      <c r="G611" s="145">
        <f>IF(Outline!$C$14&gt;0,Gradesheet!U609,Gradesheet!AY609)</f>
        <v>0</v>
      </c>
      <c r="H611" s="146">
        <f t="shared" si="10"/>
        <v>0</v>
      </c>
    </row>
    <row r="612" spans="2:8" hidden="1" x14ac:dyDescent="0.25">
      <c r="B612" s="90">
        <f>Gradesheet!A640</f>
        <v>30</v>
      </c>
      <c r="C612" s="91">
        <f>(Gradesheet!B640)</f>
        <v>0</v>
      </c>
      <c r="D612" s="92">
        <f>IF(Outline!$C$14&gt;0,Gradesheet!AD640,Gradesheet!AK640)</f>
        <v>0</v>
      </c>
      <c r="E612" s="145">
        <f>IF(Outline!$C$14&gt;0,Gradesheet!L640,Gradesheet!AR640)</f>
        <v>0</v>
      </c>
      <c r="F612" s="145">
        <f>IF(Outline!$C$14&gt;0,Gradesheet!AZ640,"NA")</f>
        <v>0</v>
      </c>
      <c r="G612" s="145">
        <f>IF(Outline!$C$14&gt;0,Gradesheet!U610,Gradesheet!AY610)</f>
        <v>0</v>
      </c>
      <c r="H612" s="146">
        <f t="shared" si="10"/>
        <v>0</v>
      </c>
    </row>
    <row r="613" spans="2:8" hidden="1" x14ac:dyDescent="0.25">
      <c r="B613" s="90">
        <f>Gradesheet!A641</f>
        <v>31</v>
      </c>
      <c r="C613" s="91">
        <f>(Gradesheet!B641)</f>
        <v>0</v>
      </c>
      <c r="D613" s="92">
        <f>IF(Outline!$C$14&gt;0,Gradesheet!AD641,Gradesheet!AK641)</f>
        <v>0</v>
      </c>
      <c r="E613" s="145">
        <f>IF(Outline!$C$14&gt;0,Gradesheet!L641,Gradesheet!AR641)</f>
        <v>0</v>
      </c>
      <c r="F613" s="145">
        <f>IF(Outline!$C$14&gt;0,Gradesheet!AZ641,"NA")</f>
        <v>0</v>
      </c>
      <c r="G613" s="145">
        <f>IF(Outline!$C$14&gt;0,Gradesheet!U611,Gradesheet!AY611)</f>
        <v>0</v>
      </c>
      <c r="H613" s="146">
        <f t="shared" si="10"/>
        <v>0</v>
      </c>
    </row>
    <row r="614" spans="2:8" hidden="1" x14ac:dyDescent="0.25">
      <c r="B614" s="90">
        <f>Gradesheet!A642</f>
        <v>32</v>
      </c>
      <c r="C614" s="91">
        <f>(Gradesheet!B642)</f>
        <v>0</v>
      </c>
      <c r="D614" s="92">
        <f>IF(Outline!$C$14&gt;0,Gradesheet!AD642,Gradesheet!AK642)</f>
        <v>0</v>
      </c>
      <c r="E614" s="145">
        <f>IF(Outline!$C$14&gt;0,Gradesheet!L642,Gradesheet!AR642)</f>
        <v>0</v>
      </c>
      <c r="F614" s="145">
        <f>IF(Outline!$C$14&gt;0,Gradesheet!AZ642,"NA")</f>
        <v>0</v>
      </c>
      <c r="G614" s="145">
        <f>IF(Outline!$C$14&gt;0,Gradesheet!U612,Gradesheet!AY612)</f>
        <v>0</v>
      </c>
      <c r="H614" s="146">
        <f t="shared" si="10"/>
        <v>0</v>
      </c>
    </row>
    <row r="615" spans="2:8" hidden="1" x14ac:dyDescent="0.25">
      <c r="B615" s="90">
        <f>Gradesheet!A643</f>
        <v>33</v>
      </c>
      <c r="C615" s="91">
        <f>(Gradesheet!B643)</f>
        <v>0</v>
      </c>
      <c r="D615" s="92">
        <f>IF(Outline!$C$14&gt;0,Gradesheet!AD643,Gradesheet!AK643)</f>
        <v>0</v>
      </c>
      <c r="E615" s="145">
        <f>IF(Outline!$C$14&gt;0,Gradesheet!L643,Gradesheet!AR643)</f>
        <v>0</v>
      </c>
      <c r="F615" s="145">
        <f>IF(Outline!$C$14&gt;0,Gradesheet!AZ643,"NA")</f>
        <v>0</v>
      </c>
      <c r="G615" s="145">
        <f>IF(Outline!$C$14&gt;0,Gradesheet!U613,Gradesheet!AY613)</f>
        <v>0</v>
      </c>
      <c r="H615" s="146">
        <f t="shared" si="10"/>
        <v>0</v>
      </c>
    </row>
    <row r="616" spans="2:8" hidden="1" x14ac:dyDescent="0.25">
      <c r="B616" s="90">
        <f>Gradesheet!A644</f>
        <v>34</v>
      </c>
      <c r="C616" s="91">
        <f>(Gradesheet!B644)</f>
        <v>0</v>
      </c>
      <c r="D616" s="92">
        <f>IF(Outline!$C$14&gt;0,Gradesheet!AD644,Gradesheet!AK644)</f>
        <v>0</v>
      </c>
      <c r="E616" s="145">
        <f>IF(Outline!$C$14&gt;0,Gradesheet!L644,Gradesheet!AR644)</f>
        <v>0</v>
      </c>
      <c r="F616" s="145">
        <f>IF(Outline!$C$14&gt;0,Gradesheet!AZ644,"NA")</f>
        <v>0</v>
      </c>
      <c r="G616" s="145">
        <f>IF(Outline!$C$14&gt;0,Gradesheet!U614,Gradesheet!AY614)</f>
        <v>0</v>
      </c>
      <c r="H616" s="146">
        <f t="shared" si="10"/>
        <v>0</v>
      </c>
    </row>
    <row r="617" spans="2:8" hidden="1" x14ac:dyDescent="0.25">
      <c r="B617" s="90">
        <f>Gradesheet!A645</f>
        <v>35</v>
      </c>
      <c r="C617" s="91">
        <f>(Gradesheet!B645)</f>
        <v>0</v>
      </c>
      <c r="D617" s="92">
        <f>IF(Outline!$C$14&gt;0,Gradesheet!AD645,Gradesheet!AK645)</f>
        <v>0</v>
      </c>
      <c r="E617" s="145">
        <f>IF(Outline!$C$14&gt;0,Gradesheet!L645,Gradesheet!AR645)</f>
        <v>0</v>
      </c>
      <c r="F617" s="145">
        <f>IF(Outline!$C$14&gt;0,Gradesheet!AZ645,"NA")</f>
        <v>0</v>
      </c>
      <c r="G617" s="145">
        <f>IF(Outline!$C$14&gt;0,Gradesheet!U615,Gradesheet!AY615)</f>
        <v>0</v>
      </c>
      <c r="H617" s="146">
        <f t="shared" si="10"/>
        <v>0</v>
      </c>
    </row>
    <row r="618" spans="2:8" hidden="1" x14ac:dyDescent="0.25">
      <c r="B618" s="90">
        <f>Gradesheet!A646</f>
        <v>36</v>
      </c>
      <c r="C618" s="91">
        <f>(Gradesheet!B646)</f>
        <v>0</v>
      </c>
      <c r="D618" s="92">
        <f>IF(Outline!$C$14&gt;0,Gradesheet!AD646,Gradesheet!AK646)</f>
        <v>0</v>
      </c>
      <c r="E618" s="145">
        <f>IF(Outline!$C$14&gt;0,Gradesheet!L646,Gradesheet!AR646)</f>
        <v>0</v>
      </c>
      <c r="F618" s="145">
        <f>IF(Outline!$C$14&gt;0,Gradesheet!AZ646,"NA")</f>
        <v>0</v>
      </c>
      <c r="G618" s="145">
        <f>IF(Outline!$C$14&gt;0,Gradesheet!U616,Gradesheet!AY616)</f>
        <v>0</v>
      </c>
      <c r="H618" s="146">
        <f t="shared" si="10"/>
        <v>0</v>
      </c>
    </row>
    <row r="619" spans="2:8" hidden="1" x14ac:dyDescent="0.25">
      <c r="B619" s="90">
        <f>Gradesheet!A647</f>
        <v>37</v>
      </c>
      <c r="C619" s="91">
        <f>(Gradesheet!B647)</f>
        <v>0</v>
      </c>
      <c r="D619" s="92">
        <f>IF(Outline!$C$14&gt;0,Gradesheet!AD647,Gradesheet!AK647)</f>
        <v>0</v>
      </c>
      <c r="E619" s="145">
        <f>IF(Outline!$C$14&gt;0,Gradesheet!L647,Gradesheet!AR647)</f>
        <v>0</v>
      </c>
      <c r="F619" s="145">
        <f>IF(Outline!$C$14&gt;0,Gradesheet!AZ647,"NA")</f>
        <v>0</v>
      </c>
      <c r="G619" s="145">
        <f>IF(Outline!$C$14&gt;0,Gradesheet!U617,Gradesheet!AY617)</f>
        <v>0</v>
      </c>
      <c r="H619" s="146">
        <f t="shared" si="10"/>
        <v>0</v>
      </c>
    </row>
    <row r="620" spans="2:8" hidden="1" x14ac:dyDescent="0.25">
      <c r="B620" s="90">
        <f>Gradesheet!A648</f>
        <v>38</v>
      </c>
      <c r="C620" s="91">
        <f>(Gradesheet!B648)</f>
        <v>0</v>
      </c>
      <c r="D620" s="92">
        <f>IF(Outline!$C$14&gt;0,Gradesheet!AD648,Gradesheet!AK648)</f>
        <v>0</v>
      </c>
      <c r="E620" s="145">
        <f>IF(Outline!$C$14&gt;0,Gradesheet!L648,Gradesheet!AR648)</f>
        <v>0</v>
      </c>
      <c r="F620" s="145">
        <f>IF(Outline!$C$14&gt;0,Gradesheet!AZ648,"NA")</f>
        <v>0</v>
      </c>
      <c r="G620" s="145">
        <f>IF(Outline!$C$14&gt;0,Gradesheet!U618,Gradesheet!AY618)</f>
        <v>0</v>
      </c>
      <c r="H620" s="146">
        <f t="shared" si="10"/>
        <v>0</v>
      </c>
    </row>
    <row r="621" spans="2:8" hidden="1" x14ac:dyDescent="0.25">
      <c r="B621" s="90">
        <f>Gradesheet!A649</f>
        <v>39</v>
      </c>
      <c r="C621" s="91">
        <f>(Gradesheet!B649)</f>
        <v>0</v>
      </c>
      <c r="D621" s="92">
        <f>IF(Outline!$C$14&gt;0,Gradesheet!AD649,Gradesheet!AK649)</f>
        <v>0</v>
      </c>
      <c r="E621" s="145">
        <f>IF(Outline!$C$14&gt;0,Gradesheet!L649,Gradesheet!AR649)</f>
        <v>0</v>
      </c>
      <c r="F621" s="145">
        <f>IF(Outline!$C$14&gt;0,Gradesheet!AZ649,"NA")</f>
        <v>0</v>
      </c>
      <c r="G621" s="145">
        <f>IF(Outline!$C$14&gt;0,Gradesheet!U619,Gradesheet!AY619)</f>
        <v>0</v>
      </c>
      <c r="H621" s="146">
        <f t="shared" si="10"/>
        <v>0</v>
      </c>
    </row>
    <row r="622" spans="2:8" hidden="1" x14ac:dyDescent="0.25">
      <c r="B622" s="90">
        <f>Gradesheet!A650</f>
        <v>40</v>
      </c>
      <c r="C622" s="91">
        <f>(Gradesheet!B650)</f>
        <v>0</v>
      </c>
      <c r="D622" s="92">
        <f>IF(Outline!$C$14&gt;0,Gradesheet!AD650,Gradesheet!AK650)</f>
        <v>0</v>
      </c>
      <c r="E622" s="145">
        <f>IF(Outline!$C$14&gt;0,Gradesheet!L650,Gradesheet!AR650)</f>
        <v>0</v>
      </c>
      <c r="F622" s="145">
        <f>IF(Outline!$C$14&gt;0,Gradesheet!AZ650,"NA")</f>
        <v>0</v>
      </c>
      <c r="G622" s="145">
        <f>IF(Outline!$C$14&gt;0,Gradesheet!U620,Gradesheet!AY620)</f>
        <v>0</v>
      </c>
      <c r="H622" s="146">
        <f t="shared" si="10"/>
        <v>0</v>
      </c>
    </row>
    <row r="623" spans="2:8" hidden="1" x14ac:dyDescent="0.25">
      <c r="B623" s="90">
        <f>Gradesheet!A651</f>
        <v>41</v>
      </c>
      <c r="C623" s="91">
        <f>(Gradesheet!B651)</f>
        <v>0</v>
      </c>
      <c r="D623" s="92">
        <f>IF(Outline!$C$14&gt;0,Gradesheet!AD651,Gradesheet!AK651)</f>
        <v>0</v>
      </c>
      <c r="E623" s="145">
        <f>IF(Outline!$C$14&gt;0,Gradesheet!L651,Gradesheet!AR651)</f>
        <v>0</v>
      </c>
      <c r="F623" s="145">
        <f>IF(Outline!$C$14&gt;0,Gradesheet!AZ651,"NA")</f>
        <v>0</v>
      </c>
      <c r="G623" s="145">
        <f>IF(Outline!$C$14&gt;0,Gradesheet!U621,Gradesheet!AY621)</f>
        <v>0</v>
      </c>
      <c r="H623" s="146">
        <f t="shared" si="10"/>
        <v>0</v>
      </c>
    </row>
    <row r="624" spans="2:8" hidden="1" x14ac:dyDescent="0.25">
      <c r="B624" s="90">
        <f>Gradesheet!A652</f>
        <v>42</v>
      </c>
      <c r="C624" s="91">
        <f>(Gradesheet!B652)</f>
        <v>0</v>
      </c>
      <c r="D624" s="92">
        <f>IF(Outline!$C$14&gt;0,Gradesheet!AD652,Gradesheet!AK652)</f>
        <v>0</v>
      </c>
      <c r="E624" s="145">
        <f>IF(Outline!$C$14&gt;0,Gradesheet!L652,Gradesheet!AR652)</f>
        <v>0</v>
      </c>
      <c r="F624" s="145">
        <f>IF(Outline!$C$14&gt;0,Gradesheet!AZ652,"NA")</f>
        <v>0</v>
      </c>
      <c r="G624" s="145">
        <f>IF(Outline!$C$14&gt;0,Gradesheet!U622,Gradesheet!AY622)</f>
        <v>0</v>
      </c>
      <c r="H624" s="146">
        <f t="shared" si="10"/>
        <v>0</v>
      </c>
    </row>
    <row r="625" spans="2:8" hidden="1" x14ac:dyDescent="0.25">
      <c r="B625" s="90">
        <f>Gradesheet!A653</f>
        <v>0</v>
      </c>
      <c r="C625" s="91">
        <f>(Gradesheet!B653)</f>
        <v>0</v>
      </c>
      <c r="D625" s="92">
        <f>IF(Outline!$C$14&gt;0,Gradesheet!AD653,Gradesheet!AK653)</f>
        <v>0</v>
      </c>
      <c r="E625" s="145">
        <f>IF(Outline!$C$14&gt;0,Gradesheet!L653,Gradesheet!AR653)</f>
        <v>0</v>
      </c>
      <c r="F625" s="145">
        <f>IF(Outline!$C$14&gt;0,Gradesheet!AZ653,"NA")</f>
        <v>0</v>
      </c>
      <c r="G625" s="145">
        <f>IF(Outline!$C$14&gt;0,Gradesheet!U623,Gradesheet!AY623)</f>
        <v>0</v>
      </c>
      <c r="H625" s="146">
        <f t="shared" si="10"/>
        <v>0</v>
      </c>
    </row>
    <row r="626" spans="2:8" hidden="1" x14ac:dyDescent="0.25">
      <c r="B626" s="90">
        <f>Gradesheet!A654</f>
        <v>1</v>
      </c>
      <c r="C626" s="91">
        <f>(Gradesheet!B654)</f>
        <v>0</v>
      </c>
      <c r="D626" s="92">
        <f>IF(Outline!$C$14&gt;0,Gradesheet!AD654,Gradesheet!AK654)</f>
        <v>0</v>
      </c>
      <c r="E626" s="145">
        <f>IF(Outline!$C$14&gt;0,Gradesheet!L654,Gradesheet!AR654)</f>
        <v>0</v>
      </c>
      <c r="F626" s="145">
        <f>IF(Outline!$C$14&gt;0,Gradesheet!AZ654,"NA")</f>
        <v>0</v>
      </c>
      <c r="G626" s="145">
        <f>IF(Outline!$C$14&gt;0,Gradesheet!U624,Gradesheet!AY624)</f>
        <v>0</v>
      </c>
      <c r="H626" s="146">
        <f t="shared" si="10"/>
        <v>0</v>
      </c>
    </row>
    <row r="627" spans="2:8" hidden="1" x14ac:dyDescent="0.25">
      <c r="B627" s="90">
        <f>Gradesheet!A655</f>
        <v>2</v>
      </c>
      <c r="C627" s="91">
        <f>(Gradesheet!B655)</f>
        <v>0</v>
      </c>
      <c r="D627" s="92">
        <f>IF(Outline!$C$14&gt;0,Gradesheet!AD655,Gradesheet!AK655)</f>
        <v>0</v>
      </c>
      <c r="E627" s="145">
        <f>IF(Outline!$C$14&gt;0,Gradesheet!L655,Gradesheet!AR655)</f>
        <v>0</v>
      </c>
      <c r="F627" s="145">
        <f>IF(Outline!$C$14&gt;0,Gradesheet!AZ655,"NA")</f>
        <v>0</v>
      </c>
      <c r="G627" s="145">
        <f>IF(Outline!$C$14&gt;0,Gradesheet!U625,Gradesheet!AY625)</f>
        <v>0</v>
      </c>
      <c r="H627" s="146">
        <f t="shared" si="10"/>
        <v>0</v>
      </c>
    </row>
    <row r="628" spans="2:8" hidden="1" x14ac:dyDescent="0.25">
      <c r="B628" s="90">
        <f>Gradesheet!A656</f>
        <v>3</v>
      </c>
      <c r="C628" s="91">
        <f>(Gradesheet!B656)</f>
        <v>0</v>
      </c>
      <c r="D628" s="92">
        <f>IF(Outline!$C$14&gt;0,Gradesheet!AD656,Gradesheet!AK656)</f>
        <v>0</v>
      </c>
      <c r="E628" s="145">
        <f>IF(Outline!$C$14&gt;0,Gradesheet!L656,Gradesheet!AR656)</f>
        <v>0</v>
      </c>
      <c r="F628" s="145">
        <f>IF(Outline!$C$14&gt;0,Gradesheet!AZ656,"NA")</f>
        <v>0</v>
      </c>
      <c r="G628" s="145">
        <f>IF(Outline!$C$14&gt;0,Gradesheet!U626,Gradesheet!AY626)</f>
        <v>0</v>
      </c>
      <c r="H628" s="146">
        <f t="shared" si="10"/>
        <v>0</v>
      </c>
    </row>
    <row r="629" spans="2:8" hidden="1" x14ac:dyDescent="0.25">
      <c r="B629" s="90">
        <f>Gradesheet!A657</f>
        <v>4</v>
      </c>
      <c r="C629" s="91">
        <f>(Gradesheet!B657)</f>
        <v>0</v>
      </c>
      <c r="D629" s="92">
        <f>IF(Outline!$C$14&gt;0,Gradesheet!AD657,Gradesheet!AK657)</f>
        <v>0</v>
      </c>
      <c r="E629" s="145">
        <f>IF(Outline!$C$14&gt;0,Gradesheet!L657,Gradesheet!AR657)</f>
        <v>0</v>
      </c>
      <c r="F629" s="145">
        <f>IF(Outline!$C$14&gt;0,Gradesheet!AZ657,"NA")</f>
        <v>0</v>
      </c>
      <c r="G629" s="145">
        <f>IF(Outline!$C$14&gt;0,Gradesheet!U627,Gradesheet!AY627)</f>
        <v>0</v>
      </c>
      <c r="H629" s="146">
        <f t="shared" si="10"/>
        <v>0</v>
      </c>
    </row>
    <row r="630" spans="2:8" hidden="1" x14ac:dyDescent="0.25">
      <c r="B630" s="90">
        <f>Gradesheet!A658</f>
        <v>5</v>
      </c>
      <c r="C630" s="91">
        <f>(Gradesheet!B658)</f>
        <v>0</v>
      </c>
      <c r="D630" s="92">
        <f>IF(Outline!$C$14&gt;0,Gradesheet!AD658,Gradesheet!AK658)</f>
        <v>0</v>
      </c>
      <c r="E630" s="145">
        <f>IF(Outline!$C$14&gt;0,Gradesheet!L658,Gradesheet!AR658)</f>
        <v>0</v>
      </c>
      <c r="F630" s="145">
        <f>IF(Outline!$C$14&gt;0,Gradesheet!AZ658,"NA")</f>
        <v>0</v>
      </c>
      <c r="G630" s="145">
        <f>IF(Outline!$C$14&gt;0,Gradesheet!U628,Gradesheet!AY628)</f>
        <v>0</v>
      </c>
      <c r="H630" s="146">
        <f t="shared" si="10"/>
        <v>0</v>
      </c>
    </row>
    <row r="631" spans="2:8" hidden="1" x14ac:dyDescent="0.25">
      <c r="B631" s="90">
        <f>Gradesheet!A659</f>
        <v>6</v>
      </c>
      <c r="C631" s="91">
        <f>(Gradesheet!B659)</f>
        <v>0</v>
      </c>
      <c r="D631" s="92">
        <f>IF(Outline!$C$14&gt;0,Gradesheet!AD659,Gradesheet!AK659)</f>
        <v>0</v>
      </c>
      <c r="E631" s="145">
        <f>IF(Outline!$C$14&gt;0,Gradesheet!L659,Gradesheet!AR659)</f>
        <v>0</v>
      </c>
      <c r="F631" s="145">
        <f>IF(Outline!$C$14&gt;0,Gradesheet!AZ659,"NA")</f>
        <v>0</v>
      </c>
      <c r="G631" s="145">
        <f>IF(Outline!$C$14&gt;0,Gradesheet!U629,Gradesheet!AY629)</f>
        <v>0</v>
      </c>
      <c r="H631" s="146">
        <f t="shared" si="10"/>
        <v>0</v>
      </c>
    </row>
    <row r="632" spans="2:8" hidden="1" x14ac:dyDescent="0.25">
      <c r="B632" s="90">
        <f>Gradesheet!A660</f>
        <v>7</v>
      </c>
      <c r="C632" s="91">
        <f>(Gradesheet!B660)</f>
        <v>0</v>
      </c>
      <c r="D632" s="92">
        <f>IF(Outline!$C$14&gt;0,Gradesheet!AD660,Gradesheet!AK660)</f>
        <v>0</v>
      </c>
      <c r="E632" s="145">
        <f>IF(Outline!$C$14&gt;0,Gradesheet!L660,Gradesheet!AR660)</f>
        <v>0</v>
      </c>
      <c r="F632" s="145">
        <f>IF(Outline!$C$14&gt;0,Gradesheet!AZ660,"NA")</f>
        <v>0</v>
      </c>
      <c r="G632" s="145">
        <f>IF(Outline!$C$14&gt;0,Gradesheet!U630,Gradesheet!AY630)</f>
        <v>0</v>
      </c>
      <c r="H632" s="146">
        <f t="shared" si="10"/>
        <v>0</v>
      </c>
    </row>
    <row r="633" spans="2:8" hidden="1" x14ac:dyDescent="0.25">
      <c r="B633" s="90">
        <f>Gradesheet!A661</f>
        <v>8</v>
      </c>
      <c r="C633" s="91">
        <f>(Gradesheet!B661)</f>
        <v>0</v>
      </c>
      <c r="D633" s="92">
        <f>IF(Outline!$C$14&gt;0,Gradesheet!AD661,Gradesheet!AK661)</f>
        <v>0</v>
      </c>
      <c r="E633" s="145">
        <f>IF(Outline!$C$14&gt;0,Gradesheet!L661,Gradesheet!AR661)</f>
        <v>0</v>
      </c>
      <c r="F633" s="145">
        <f>IF(Outline!$C$14&gt;0,Gradesheet!AZ661,"NA")</f>
        <v>0</v>
      </c>
      <c r="G633" s="145">
        <f>IF(Outline!$C$14&gt;0,Gradesheet!U631,Gradesheet!AY631)</f>
        <v>0</v>
      </c>
      <c r="H633" s="146">
        <f t="shared" si="10"/>
        <v>0</v>
      </c>
    </row>
    <row r="634" spans="2:8" hidden="1" x14ac:dyDescent="0.25">
      <c r="B634" s="90">
        <f>Gradesheet!A662</f>
        <v>9</v>
      </c>
      <c r="C634" s="91">
        <f>(Gradesheet!B662)</f>
        <v>0</v>
      </c>
      <c r="D634" s="92">
        <f>IF(Outline!$C$14&gt;0,Gradesheet!AD662,Gradesheet!AK662)</f>
        <v>0</v>
      </c>
      <c r="E634" s="145">
        <f>IF(Outline!$C$14&gt;0,Gradesheet!L662,Gradesheet!AR662)</f>
        <v>0</v>
      </c>
      <c r="F634" s="145">
        <f>IF(Outline!$C$14&gt;0,Gradesheet!AZ662,"NA")</f>
        <v>0</v>
      </c>
      <c r="G634" s="145">
        <f>IF(Outline!$C$14&gt;0,Gradesheet!U632,Gradesheet!AY632)</f>
        <v>0</v>
      </c>
      <c r="H634" s="146">
        <f t="shared" si="10"/>
        <v>0</v>
      </c>
    </row>
    <row r="635" spans="2:8" hidden="1" x14ac:dyDescent="0.25">
      <c r="B635" s="90">
        <f>Gradesheet!A663</f>
        <v>10</v>
      </c>
      <c r="C635" s="91">
        <f>(Gradesheet!B663)</f>
        <v>0</v>
      </c>
      <c r="D635" s="92">
        <f>IF(Outline!$C$14&gt;0,Gradesheet!AD663,Gradesheet!AK663)</f>
        <v>0</v>
      </c>
      <c r="E635" s="145">
        <f>IF(Outline!$C$14&gt;0,Gradesheet!L663,Gradesheet!AR663)</f>
        <v>0</v>
      </c>
      <c r="F635" s="145">
        <f>IF(Outline!$C$14&gt;0,Gradesheet!AZ663,"NA")</f>
        <v>0</v>
      </c>
      <c r="G635" s="145">
        <f>IF(Outline!$C$14&gt;0,Gradesheet!U633,Gradesheet!AY633)</f>
        <v>0</v>
      </c>
      <c r="H635" s="146">
        <f t="shared" si="10"/>
        <v>0</v>
      </c>
    </row>
    <row r="636" spans="2:8" hidden="1" x14ac:dyDescent="0.25">
      <c r="B636" s="90">
        <f>Gradesheet!A664</f>
        <v>11</v>
      </c>
      <c r="C636" s="91">
        <f>(Gradesheet!B664)</f>
        <v>0</v>
      </c>
      <c r="D636" s="92">
        <f>IF(Outline!$C$14&gt;0,Gradesheet!AD664,Gradesheet!AK664)</f>
        <v>0</v>
      </c>
      <c r="E636" s="145">
        <f>IF(Outline!$C$14&gt;0,Gradesheet!L664,Gradesheet!AR664)</f>
        <v>0</v>
      </c>
      <c r="F636" s="145">
        <f>IF(Outline!$C$14&gt;0,Gradesheet!AZ664,"NA")</f>
        <v>0</v>
      </c>
      <c r="G636" s="145">
        <f>IF(Outline!$C$14&gt;0,Gradesheet!U634,Gradesheet!AY634)</f>
        <v>0</v>
      </c>
      <c r="H636" s="146">
        <f t="shared" si="10"/>
        <v>0</v>
      </c>
    </row>
    <row r="637" spans="2:8" hidden="1" x14ac:dyDescent="0.25">
      <c r="B637" s="90">
        <f>Gradesheet!A665</f>
        <v>12</v>
      </c>
      <c r="C637" s="91">
        <f>(Gradesheet!B665)</f>
        <v>0</v>
      </c>
      <c r="D637" s="92">
        <f>IF(Outline!$C$14&gt;0,Gradesheet!AD665,Gradesheet!AK665)</f>
        <v>0</v>
      </c>
      <c r="E637" s="145">
        <f>IF(Outline!$C$14&gt;0,Gradesheet!L665,Gradesheet!AR665)</f>
        <v>0</v>
      </c>
      <c r="F637" s="145">
        <f>IF(Outline!$C$14&gt;0,Gradesheet!AZ665,"NA")</f>
        <v>0</v>
      </c>
      <c r="G637" s="145">
        <f>IF(Outline!$C$14&gt;0,Gradesheet!U635,Gradesheet!AY635)</f>
        <v>0</v>
      </c>
      <c r="H637" s="146">
        <f t="shared" si="10"/>
        <v>0</v>
      </c>
    </row>
    <row r="638" spans="2:8" hidden="1" x14ac:dyDescent="0.25">
      <c r="B638" s="90">
        <f>Gradesheet!A666</f>
        <v>13</v>
      </c>
      <c r="C638" s="91">
        <f>(Gradesheet!B666)</f>
        <v>0</v>
      </c>
      <c r="D638" s="92">
        <f>IF(Outline!$C$14&gt;0,Gradesheet!AD666,Gradesheet!AK666)</f>
        <v>0</v>
      </c>
      <c r="E638" s="145">
        <f>IF(Outline!$C$14&gt;0,Gradesheet!L666,Gradesheet!AR666)</f>
        <v>0</v>
      </c>
      <c r="F638" s="145">
        <f>IF(Outline!$C$14&gt;0,Gradesheet!AZ666,"NA")</f>
        <v>0</v>
      </c>
      <c r="G638" s="145">
        <f>IF(Outline!$C$14&gt;0,Gradesheet!U636,Gradesheet!AY636)</f>
        <v>0</v>
      </c>
      <c r="H638" s="146">
        <f t="shared" si="10"/>
        <v>0</v>
      </c>
    </row>
    <row r="639" spans="2:8" hidden="1" x14ac:dyDescent="0.25">
      <c r="B639" s="90">
        <f>Gradesheet!A667</f>
        <v>14</v>
      </c>
      <c r="C639" s="91">
        <f>(Gradesheet!B667)</f>
        <v>0</v>
      </c>
      <c r="D639" s="92">
        <f>IF(Outline!$C$14&gt;0,Gradesheet!AD667,Gradesheet!AK667)</f>
        <v>0</v>
      </c>
      <c r="E639" s="145">
        <f>IF(Outline!$C$14&gt;0,Gradesheet!L667,Gradesheet!AR667)</f>
        <v>0</v>
      </c>
      <c r="F639" s="145">
        <f>IF(Outline!$C$14&gt;0,Gradesheet!AZ667,"NA")</f>
        <v>0</v>
      </c>
      <c r="G639" s="145">
        <f>IF(Outline!$C$14&gt;0,Gradesheet!U637,Gradesheet!AY637)</f>
        <v>0</v>
      </c>
      <c r="H639" s="146">
        <f t="shared" si="10"/>
        <v>0</v>
      </c>
    </row>
    <row r="640" spans="2:8" hidden="1" x14ac:dyDescent="0.25">
      <c r="B640" s="90">
        <f>Gradesheet!A668</f>
        <v>15</v>
      </c>
      <c r="C640" s="91">
        <f>(Gradesheet!B668)</f>
        <v>0</v>
      </c>
      <c r="D640" s="92">
        <f>IF(Outline!$C$14&gt;0,Gradesheet!AD668,Gradesheet!AK668)</f>
        <v>0</v>
      </c>
      <c r="E640" s="145">
        <f>IF(Outline!$C$14&gt;0,Gradesheet!L668,Gradesheet!AR668)</f>
        <v>0</v>
      </c>
      <c r="F640" s="145">
        <f>IF(Outline!$C$14&gt;0,Gradesheet!AZ668,"NA")</f>
        <v>0</v>
      </c>
      <c r="G640" s="145">
        <f>IF(Outline!$C$14&gt;0,Gradesheet!U638,Gradesheet!AY638)</f>
        <v>0</v>
      </c>
      <c r="H640" s="146">
        <f t="shared" si="10"/>
        <v>0</v>
      </c>
    </row>
    <row r="641" spans="2:8" hidden="1" x14ac:dyDescent="0.25">
      <c r="B641" s="90">
        <f>Gradesheet!A669</f>
        <v>16</v>
      </c>
      <c r="C641" s="91">
        <f>(Gradesheet!B669)</f>
        <v>0</v>
      </c>
      <c r="D641" s="92">
        <f>IF(Outline!$C$14&gt;0,Gradesheet!AD669,Gradesheet!AK669)</f>
        <v>0</v>
      </c>
      <c r="E641" s="145">
        <f>IF(Outline!$C$14&gt;0,Gradesheet!L669,Gradesheet!AR669)</f>
        <v>0</v>
      </c>
      <c r="F641" s="145">
        <f>IF(Outline!$C$14&gt;0,Gradesheet!AZ669,"NA")</f>
        <v>0</v>
      </c>
      <c r="G641" s="145">
        <f>IF(Outline!$C$14&gt;0,Gradesheet!U639,Gradesheet!AY639)</f>
        <v>0</v>
      </c>
      <c r="H641" s="146">
        <f t="shared" si="10"/>
        <v>0</v>
      </c>
    </row>
    <row r="642" spans="2:8" hidden="1" x14ac:dyDescent="0.25">
      <c r="B642" s="90">
        <f>Gradesheet!A670</f>
        <v>17</v>
      </c>
      <c r="C642" s="91">
        <f>(Gradesheet!B670)</f>
        <v>0</v>
      </c>
      <c r="D642" s="92">
        <f>IF(Outline!$C$14&gt;0,Gradesheet!AD670,Gradesheet!AK670)</f>
        <v>0</v>
      </c>
      <c r="E642" s="145">
        <f>IF(Outline!$C$14&gt;0,Gradesheet!L670,Gradesheet!AR670)</f>
        <v>0</v>
      </c>
      <c r="F642" s="145">
        <f>IF(Outline!$C$14&gt;0,Gradesheet!AZ670,"NA")</f>
        <v>0</v>
      </c>
      <c r="G642" s="145">
        <f>IF(Outline!$C$14&gt;0,Gradesheet!U640,Gradesheet!AY640)</f>
        <v>0</v>
      </c>
      <c r="H642" s="146">
        <f t="shared" si="10"/>
        <v>0</v>
      </c>
    </row>
    <row r="643" spans="2:8" hidden="1" x14ac:dyDescent="0.25">
      <c r="B643" s="90">
        <f>Gradesheet!A671</f>
        <v>18</v>
      </c>
      <c r="C643" s="91">
        <f>(Gradesheet!B671)</f>
        <v>0</v>
      </c>
      <c r="D643" s="92">
        <f>IF(Outline!$C$14&gt;0,Gradesheet!AD671,Gradesheet!AK671)</f>
        <v>0</v>
      </c>
      <c r="E643" s="145">
        <f>IF(Outline!$C$14&gt;0,Gradesheet!L671,Gradesheet!AR671)</f>
        <v>0</v>
      </c>
      <c r="F643" s="145">
        <f>IF(Outline!$C$14&gt;0,Gradesheet!AZ671,"NA")</f>
        <v>0</v>
      </c>
      <c r="G643" s="145">
        <f>IF(Outline!$C$14&gt;0,Gradesheet!U641,Gradesheet!AY641)</f>
        <v>0</v>
      </c>
      <c r="H643" s="146">
        <f t="shared" si="10"/>
        <v>0</v>
      </c>
    </row>
    <row r="644" spans="2:8" hidden="1" x14ac:dyDescent="0.25">
      <c r="B644" s="90">
        <f>Gradesheet!A672</f>
        <v>19</v>
      </c>
      <c r="C644" s="91">
        <f>(Gradesheet!B672)</f>
        <v>0</v>
      </c>
      <c r="D644" s="92">
        <f>IF(Outline!$C$14&gt;0,Gradesheet!AD672,Gradesheet!AK672)</f>
        <v>0</v>
      </c>
      <c r="E644" s="145">
        <f>IF(Outline!$C$14&gt;0,Gradesheet!L672,Gradesheet!AR672)</f>
        <v>0</v>
      </c>
      <c r="F644" s="145">
        <f>IF(Outline!$C$14&gt;0,Gradesheet!AZ672,"NA")</f>
        <v>0</v>
      </c>
      <c r="G644" s="145">
        <f>IF(Outline!$C$14&gt;0,Gradesheet!U642,Gradesheet!AY642)</f>
        <v>0</v>
      </c>
      <c r="H644" s="146">
        <f t="shared" si="10"/>
        <v>0</v>
      </c>
    </row>
    <row r="645" spans="2:8" hidden="1" x14ac:dyDescent="0.25">
      <c r="B645" s="90">
        <f>Gradesheet!A673</f>
        <v>20</v>
      </c>
      <c r="C645" s="91">
        <f>(Gradesheet!B673)</f>
        <v>0</v>
      </c>
      <c r="D645" s="92">
        <f>IF(Outline!$C$14&gt;0,Gradesheet!AD673,Gradesheet!AK673)</f>
        <v>0</v>
      </c>
      <c r="E645" s="145">
        <f>IF(Outline!$C$14&gt;0,Gradesheet!L673,Gradesheet!AR673)</f>
        <v>0</v>
      </c>
      <c r="F645" s="145">
        <f>IF(Outline!$C$14&gt;0,Gradesheet!AZ673,"NA")</f>
        <v>0</v>
      </c>
      <c r="G645" s="145">
        <f>IF(Outline!$C$14&gt;0,Gradesheet!U643,Gradesheet!AY643)</f>
        <v>0</v>
      </c>
      <c r="H645" s="146">
        <f t="shared" si="10"/>
        <v>0</v>
      </c>
    </row>
    <row r="646" spans="2:8" hidden="1" x14ac:dyDescent="0.25">
      <c r="B646" s="90">
        <f>Gradesheet!A674</f>
        <v>21</v>
      </c>
      <c r="C646" s="91">
        <f>(Gradesheet!B674)</f>
        <v>0</v>
      </c>
      <c r="D646" s="92">
        <f>IF(Outline!$C$14&gt;0,Gradesheet!AD674,Gradesheet!AK674)</f>
        <v>0</v>
      </c>
      <c r="E646" s="145">
        <f>IF(Outline!$C$14&gt;0,Gradesheet!L674,Gradesheet!AR674)</f>
        <v>0</v>
      </c>
      <c r="F646" s="145">
        <f>IF(Outline!$C$14&gt;0,Gradesheet!AZ674,"NA")</f>
        <v>0</v>
      </c>
      <c r="G646" s="145">
        <f>IF(Outline!$C$14&gt;0,Gradesheet!U644,Gradesheet!AY644)</f>
        <v>0</v>
      </c>
      <c r="H646" s="146">
        <f t="shared" si="10"/>
        <v>0</v>
      </c>
    </row>
    <row r="647" spans="2:8" hidden="1" x14ac:dyDescent="0.25">
      <c r="B647" s="90">
        <f>Gradesheet!A675</f>
        <v>22</v>
      </c>
      <c r="C647" s="91">
        <f>(Gradesheet!B675)</f>
        <v>0</v>
      </c>
      <c r="D647" s="92">
        <f>IF(Outline!$C$14&gt;0,Gradesheet!AD675,Gradesheet!AK675)</f>
        <v>0</v>
      </c>
      <c r="E647" s="145">
        <f>IF(Outline!$C$14&gt;0,Gradesheet!L675,Gradesheet!AR675)</f>
        <v>0</v>
      </c>
      <c r="F647" s="145">
        <f>IF(Outline!$C$14&gt;0,Gradesheet!AZ675,"NA")</f>
        <v>0</v>
      </c>
      <c r="G647" s="145">
        <f>IF(Outline!$C$14&gt;0,Gradesheet!U645,Gradesheet!AY645)</f>
        <v>0</v>
      </c>
      <c r="H647" s="146">
        <f t="shared" ref="H647:H710" si="11">SUM(D647:G647)</f>
        <v>0</v>
      </c>
    </row>
    <row r="648" spans="2:8" hidden="1" x14ac:dyDescent="0.25">
      <c r="B648" s="90">
        <f>Gradesheet!A676</f>
        <v>23</v>
      </c>
      <c r="C648" s="91">
        <f>(Gradesheet!B676)</f>
        <v>0</v>
      </c>
      <c r="D648" s="92">
        <f>IF(Outline!$C$14&gt;0,Gradesheet!AD676,Gradesheet!AK676)</f>
        <v>0</v>
      </c>
      <c r="E648" s="145">
        <f>IF(Outline!$C$14&gt;0,Gradesheet!L676,Gradesheet!AR676)</f>
        <v>0</v>
      </c>
      <c r="F648" s="145">
        <f>IF(Outline!$C$14&gt;0,Gradesheet!AZ676,"NA")</f>
        <v>0</v>
      </c>
      <c r="G648" s="145">
        <f>IF(Outline!$C$14&gt;0,Gradesheet!U646,Gradesheet!AY646)</f>
        <v>0</v>
      </c>
      <c r="H648" s="146">
        <f t="shared" si="11"/>
        <v>0</v>
      </c>
    </row>
    <row r="649" spans="2:8" hidden="1" x14ac:dyDescent="0.25">
      <c r="B649" s="90">
        <f>Gradesheet!A677</f>
        <v>24</v>
      </c>
      <c r="C649" s="91">
        <f>(Gradesheet!B677)</f>
        <v>0</v>
      </c>
      <c r="D649" s="92">
        <f>IF(Outline!$C$14&gt;0,Gradesheet!AD677,Gradesheet!AK677)</f>
        <v>0</v>
      </c>
      <c r="E649" s="145">
        <f>IF(Outline!$C$14&gt;0,Gradesheet!L677,Gradesheet!AR677)</f>
        <v>0</v>
      </c>
      <c r="F649" s="145">
        <f>IF(Outline!$C$14&gt;0,Gradesheet!AZ677,"NA")</f>
        <v>0</v>
      </c>
      <c r="G649" s="145">
        <f>IF(Outline!$C$14&gt;0,Gradesheet!U647,Gradesheet!AY647)</f>
        <v>0</v>
      </c>
      <c r="H649" s="146">
        <f t="shared" si="11"/>
        <v>0</v>
      </c>
    </row>
    <row r="650" spans="2:8" hidden="1" x14ac:dyDescent="0.25">
      <c r="B650" s="90">
        <f>Gradesheet!A678</f>
        <v>25</v>
      </c>
      <c r="C650" s="91">
        <f>(Gradesheet!B678)</f>
        <v>0</v>
      </c>
      <c r="D650" s="92">
        <f>IF(Outline!$C$14&gt;0,Gradesheet!AD678,Gradesheet!AK678)</f>
        <v>0</v>
      </c>
      <c r="E650" s="145">
        <f>IF(Outline!$C$14&gt;0,Gradesheet!L678,Gradesheet!AR678)</f>
        <v>0</v>
      </c>
      <c r="F650" s="145">
        <f>IF(Outline!$C$14&gt;0,Gradesheet!AZ678,"NA")</f>
        <v>0</v>
      </c>
      <c r="G650" s="145">
        <f>IF(Outline!$C$14&gt;0,Gradesheet!U648,Gradesheet!AY648)</f>
        <v>0</v>
      </c>
      <c r="H650" s="146">
        <f t="shared" si="11"/>
        <v>0</v>
      </c>
    </row>
    <row r="651" spans="2:8" hidden="1" x14ac:dyDescent="0.25">
      <c r="B651" s="90">
        <f>Gradesheet!A679</f>
        <v>26</v>
      </c>
      <c r="C651" s="91">
        <f>(Gradesheet!B679)</f>
        <v>0</v>
      </c>
      <c r="D651" s="92">
        <f>IF(Outline!$C$14&gt;0,Gradesheet!AD679,Gradesheet!AK679)</f>
        <v>0</v>
      </c>
      <c r="E651" s="145">
        <f>IF(Outline!$C$14&gt;0,Gradesheet!L679,Gradesheet!AR679)</f>
        <v>0</v>
      </c>
      <c r="F651" s="145">
        <f>IF(Outline!$C$14&gt;0,Gradesheet!AZ679,"NA")</f>
        <v>0</v>
      </c>
      <c r="G651" s="145">
        <f>IF(Outline!$C$14&gt;0,Gradesheet!U649,Gradesheet!AY649)</f>
        <v>0</v>
      </c>
      <c r="H651" s="146">
        <f t="shared" si="11"/>
        <v>0</v>
      </c>
    </row>
    <row r="652" spans="2:8" hidden="1" x14ac:dyDescent="0.25">
      <c r="B652" s="90">
        <f>Gradesheet!A680</f>
        <v>27</v>
      </c>
      <c r="C652" s="91">
        <f>(Gradesheet!B680)</f>
        <v>0</v>
      </c>
      <c r="D652" s="92">
        <f>IF(Outline!$C$14&gt;0,Gradesheet!AD680,Gradesheet!AK680)</f>
        <v>0</v>
      </c>
      <c r="E652" s="145">
        <f>IF(Outline!$C$14&gt;0,Gradesheet!L680,Gradesheet!AR680)</f>
        <v>0</v>
      </c>
      <c r="F652" s="145">
        <f>IF(Outline!$C$14&gt;0,Gradesheet!AZ680,"NA")</f>
        <v>0</v>
      </c>
      <c r="G652" s="145">
        <f>IF(Outline!$C$14&gt;0,Gradesheet!U650,Gradesheet!AY650)</f>
        <v>0</v>
      </c>
      <c r="H652" s="146">
        <f t="shared" si="11"/>
        <v>0</v>
      </c>
    </row>
    <row r="653" spans="2:8" hidden="1" x14ac:dyDescent="0.25">
      <c r="B653" s="90">
        <f>Gradesheet!A681</f>
        <v>28</v>
      </c>
      <c r="C653" s="91">
        <f>(Gradesheet!B681)</f>
        <v>0</v>
      </c>
      <c r="D653" s="92">
        <f>IF(Outline!$C$14&gt;0,Gradesheet!AD681,Gradesheet!AK681)</f>
        <v>0</v>
      </c>
      <c r="E653" s="145">
        <f>IF(Outline!$C$14&gt;0,Gradesheet!L681,Gradesheet!AR681)</f>
        <v>0</v>
      </c>
      <c r="F653" s="145">
        <f>IF(Outline!$C$14&gt;0,Gradesheet!AZ681,"NA")</f>
        <v>0</v>
      </c>
      <c r="G653" s="145">
        <f>IF(Outline!$C$14&gt;0,Gradesheet!U651,Gradesheet!AY651)</f>
        <v>0</v>
      </c>
      <c r="H653" s="146">
        <f t="shared" si="11"/>
        <v>0</v>
      </c>
    </row>
    <row r="654" spans="2:8" hidden="1" x14ac:dyDescent="0.25">
      <c r="B654" s="90">
        <f>Gradesheet!A682</f>
        <v>29</v>
      </c>
      <c r="C654" s="91">
        <f>(Gradesheet!B682)</f>
        <v>0</v>
      </c>
      <c r="D654" s="92">
        <f>IF(Outline!$C$14&gt;0,Gradesheet!AD682,Gradesheet!AK682)</f>
        <v>0</v>
      </c>
      <c r="E654" s="145">
        <f>IF(Outline!$C$14&gt;0,Gradesheet!L682,Gradesheet!AR682)</f>
        <v>0</v>
      </c>
      <c r="F654" s="145">
        <f>IF(Outline!$C$14&gt;0,Gradesheet!AZ682,"NA")</f>
        <v>0</v>
      </c>
      <c r="G654" s="145">
        <f>IF(Outline!$C$14&gt;0,Gradesheet!U652,Gradesheet!AY652)</f>
        <v>0</v>
      </c>
      <c r="H654" s="146">
        <f t="shared" si="11"/>
        <v>0</v>
      </c>
    </row>
    <row r="655" spans="2:8" hidden="1" x14ac:dyDescent="0.25">
      <c r="B655" s="90">
        <f>Gradesheet!A683</f>
        <v>30</v>
      </c>
      <c r="C655" s="91">
        <f>(Gradesheet!B683)</f>
        <v>0</v>
      </c>
      <c r="D655" s="92">
        <f>IF(Outline!$C$14&gt;0,Gradesheet!AD683,Gradesheet!AK683)</f>
        <v>0</v>
      </c>
      <c r="E655" s="145">
        <f>IF(Outline!$C$14&gt;0,Gradesheet!L683,Gradesheet!AR683)</f>
        <v>0</v>
      </c>
      <c r="F655" s="145">
        <f>IF(Outline!$C$14&gt;0,Gradesheet!AZ683,"NA")</f>
        <v>0</v>
      </c>
      <c r="G655" s="145">
        <f>IF(Outline!$C$14&gt;0,Gradesheet!U653,Gradesheet!AY653)</f>
        <v>0</v>
      </c>
      <c r="H655" s="146">
        <f t="shared" si="11"/>
        <v>0</v>
      </c>
    </row>
    <row r="656" spans="2:8" hidden="1" x14ac:dyDescent="0.25">
      <c r="B656" s="90">
        <f>Gradesheet!A684</f>
        <v>31</v>
      </c>
      <c r="C656" s="91">
        <f>(Gradesheet!B684)</f>
        <v>0</v>
      </c>
      <c r="D656" s="92">
        <f>IF(Outline!$C$14&gt;0,Gradesheet!AD684,Gradesheet!AK684)</f>
        <v>0</v>
      </c>
      <c r="E656" s="145">
        <f>IF(Outline!$C$14&gt;0,Gradesheet!L684,Gradesheet!AR684)</f>
        <v>0</v>
      </c>
      <c r="F656" s="145">
        <f>IF(Outline!$C$14&gt;0,Gradesheet!AZ684,"NA")</f>
        <v>0</v>
      </c>
      <c r="G656" s="145">
        <f>IF(Outline!$C$14&gt;0,Gradesheet!U654,Gradesheet!AY654)</f>
        <v>0</v>
      </c>
      <c r="H656" s="146">
        <f t="shared" si="11"/>
        <v>0</v>
      </c>
    </row>
    <row r="657" spans="2:8" hidden="1" x14ac:dyDescent="0.25">
      <c r="B657" s="90">
        <f>Gradesheet!A685</f>
        <v>32</v>
      </c>
      <c r="C657" s="91">
        <f>(Gradesheet!B685)</f>
        <v>0</v>
      </c>
      <c r="D657" s="92">
        <f>IF(Outline!$C$14&gt;0,Gradesheet!AD685,Gradesheet!AK685)</f>
        <v>0</v>
      </c>
      <c r="E657" s="145">
        <f>IF(Outline!$C$14&gt;0,Gradesheet!L685,Gradesheet!AR685)</f>
        <v>0</v>
      </c>
      <c r="F657" s="145">
        <f>IF(Outline!$C$14&gt;0,Gradesheet!AZ685,"NA")</f>
        <v>0</v>
      </c>
      <c r="G657" s="145">
        <f>IF(Outline!$C$14&gt;0,Gradesheet!U655,Gradesheet!AY655)</f>
        <v>0</v>
      </c>
      <c r="H657" s="146">
        <f t="shared" si="11"/>
        <v>0</v>
      </c>
    </row>
    <row r="658" spans="2:8" hidden="1" x14ac:dyDescent="0.25">
      <c r="B658" s="90">
        <f>Gradesheet!A686</f>
        <v>33</v>
      </c>
      <c r="C658" s="91">
        <f>(Gradesheet!B686)</f>
        <v>0</v>
      </c>
      <c r="D658" s="92">
        <f>IF(Outline!$C$14&gt;0,Gradesheet!AD686,Gradesheet!AK686)</f>
        <v>0</v>
      </c>
      <c r="E658" s="145">
        <f>IF(Outline!$C$14&gt;0,Gradesheet!L686,Gradesheet!AR686)</f>
        <v>0</v>
      </c>
      <c r="F658" s="145">
        <f>IF(Outline!$C$14&gt;0,Gradesheet!AZ686,"NA")</f>
        <v>0</v>
      </c>
      <c r="G658" s="145">
        <f>IF(Outline!$C$14&gt;0,Gradesheet!U656,Gradesheet!AY656)</f>
        <v>0</v>
      </c>
      <c r="H658" s="146">
        <f t="shared" si="11"/>
        <v>0</v>
      </c>
    </row>
    <row r="659" spans="2:8" hidden="1" x14ac:dyDescent="0.25">
      <c r="B659" s="90">
        <f>Gradesheet!A687</f>
        <v>34</v>
      </c>
      <c r="C659" s="91">
        <f>(Gradesheet!B687)</f>
        <v>0</v>
      </c>
      <c r="D659" s="92">
        <f>IF(Outline!$C$14&gt;0,Gradesheet!AD687,Gradesheet!AK687)</f>
        <v>0</v>
      </c>
      <c r="E659" s="145">
        <f>IF(Outline!$C$14&gt;0,Gradesheet!L687,Gradesheet!AR687)</f>
        <v>0</v>
      </c>
      <c r="F659" s="145">
        <f>IF(Outline!$C$14&gt;0,Gradesheet!AZ687,"NA")</f>
        <v>0</v>
      </c>
      <c r="G659" s="145">
        <f>IF(Outline!$C$14&gt;0,Gradesheet!U657,Gradesheet!AY657)</f>
        <v>0</v>
      </c>
      <c r="H659" s="146">
        <f t="shared" si="11"/>
        <v>0</v>
      </c>
    </row>
    <row r="660" spans="2:8" hidden="1" x14ac:dyDescent="0.25">
      <c r="B660" s="90">
        <f>Gradesheet!A688</f>
        <v>35</v>
      </c>
      <c r="C660" s="91">
        <f>(Gradesheet!B688)</f>
        <v>0</v>
      </c>
      <c r="D660" s="92">
        <f>IF(Outline!$C$14&gt;0,Gradesheet!AD688,Gradesheet!AK688)</f>
        <v>0</v>
      </c>
      <c r="E660" s="145">
        <f>IF(Outline!$C$14&gt;0,Gradesheet!L688,Gradesheet!AR688)</f>
        <v>0</v>
      </c>
      <c r="F660" s="145">
        <f>IF(Outline!$C$14&gt;0,Gradesheet!AZ688,"NA")</f>
        <v>0</v>
      </c>
      <c r="G660" s="145">
        <f>IF(Outline!$C$14&gt;0,Gradesheet!U658,Gradesheet!AY658)</f>
        <v>0</v>
      </c>
      <c r="H660" s="146">
        <f t="shared" si="11"/>
        <v>0</v>
      </c>
    </row>
    <row r="661" spans="2:8" hidden="1" x14ac:dyDescent="0.25">
      <c r="B661" s="90">
        <f>Gradesheet!A689</f>
        <v>36</v>
      </c>
      <c r="C661" s="91">
        <f>(Gradesheet!B689)</f>
        <v>0</v>
      </c>
      <c r="D661" s="92">
        <f>IF(Outline!$C$14&gt;0,Gradesheet!AD689,Gradesheet!AK689)</f>
        <v>0</v>
      </c>
      <c r="E661" s="145">
        <f>IF(Outline!$C$14&gt;0,Gradesheet!L689,Gradesheet!AR689)</f>
        <v>0</v>
      </c>
      <c r="F661" s="145">
        <f>IF(Outline!$C$14&gt;0,Gradesheet!AZ689,"NA")</f>
        <v>0</v>
      </c>
      <c r="G661" s="145">
        <f>IF(Outline!$C$14&gt;0,Gradesheet!U659,Gradesheet!AY659)</f>
        <v>0</v>
      </c>
      <c r="H661" s="146">
        <f t="shared" si="11"/>
        <v>0</v>
      </c>
    </row>
    <row r="662" spans="2:8" hidden="1" x14ac:dyDescent="0.25">
      <c r="B662" s="90">
        <f>Gradesheet!A690</f>
        <v>37</v>
      </c>
      <c r="C662" s="91">
        <f>(Gradesheet!B690)</f>
        <v>0</v>
      </c>
      <c r="D662" s="92">
        <f>IF(Outline!$C$14&gt;0,Gradesheet!AD690,Gradesheet!AK690)</f>
        <v>0</v>
      </c>
      <c r="E662" s="145">
        <f>IF(Outline!$C$14&gt;0,Gradesheet!L690,Gradesheet!AR690)</f>
        <v>0</v>
      </c>
      <c r="F662" s="145">
        <f>IF(Outline!$C$14&gt;0,Gradesheet!AZ690,"NA")</f>
        <v>0</v>
      </c>
      <c r="G662" s="145">
        <f>IF(Outline!$C$14&gt;0,Gradesheet!U660,Gradesheet!AY660)</f>
        <v>0</v>
      </c>
      <c r="H662" s="146">
        <f t="shared" si="11"/>
        <v>0</v>
      </c>
    </row>
    <row r="663" spans="2:8" hidden="1" x14ac:dyDescent="0.25">
      <c r="B663" s="90">
        <f>Gradesheet!A691</f>
        <v>38</v>
      </c>
      <c r="C663" s="91">
        <f>(Gradesheet!B691)</f>
        <v>0</v>
      </c>
      <c r="D663" s="92">
        <f>IF(Outline!$C$14&gt;0,Gradesheet!AD691,Gradesheet!AK691)</f>
        <v>0</v>
      </c>
      <c r="E663" s="145">
        <f>IF(Outline!$C$14&gt;0,Gradesheet!L691,Gradesheet!AR691)</f>
        <v>0</v>
      </c>
      <c r="F663" s="145">
        <f>IF(Outline!$C$14&gt;0,Gradesheet!AZ691,"NA")</f>
        <v>0</v>
      </c>
      <c r="G663" s="145">
        <f>IF(Outline!$C$14&gt;0,Gradesheet!U661,Gradesheet!AY661)</f>
        <v>0</v>
      </c>
      <c r="H663" s="146">
        <f t="shared" si="11"/>
        <v>0</v>
      </c>
    </row>
    <row r="664" spans="2:8" hidden="1" x14ac:dyDescent="0.25">
      <c r="B664" s="90">
        <f>Gradesheet!A692</f>
        <v>39</v>
      </c>
      <c r="C664" s="91">
        <f>(Gradesheet!B692)</f>
        <v>0</v>
      </c>
      <c r="D664" s="92">
        <f>IF(Outline!$C$14&gt;0,Gradesheet!AD692,Gradesheet!AK692)</f>
        <v>0</v>
      </c>
      <c r="E664" s="145">
        <f>IF(Outline!$C$14&gt;0,Gradesheet!L692,Gradesheet!AR692)</f>
        <v>0</v>
      </c>
      <c r="F664" s="145">
        <f>IF(Outline!$C$14&gt;0,Gradesheet!AZ692,"NA")</f>
        <v>0</v>
      </c>
      <c r="G664" s="145">
        <f>IF(Outline!$C$14&gt;0,Gradesheet!U662,Gradesheet!AY662)</f>
        <v>0</v>
      </c>
      <c r="H664" s="146">
        <f t="shared" si="11"/>
        <v>0</v>
      </c>
    </row>
    <row r="665" spans="2:8" hidden="1" x14ac:dyDescent="0.25">
      <c r="B665" s="90">
        <f>Gradesheet!A693</f>
        <v>40</v>
      </c>
      <c r="C665" s="91">
        <f>(Gradesheet!B693)</f>
        <v>0</v>
      </c>
      <c r="D665" s="92">
        <f>IF(Outline!$C$14&gt;0,Gradesheet!AD693,Gradesheet!AK693)</f>
        <v>0</v>
      </c>
      <c r="E665" s="145">
        <f>IF(Outline!$C$14&gt;0,Gradesheet!L693,Gradesheet!AR693)</f>
        <v>0</v>
      </c>
      <c r="F665" s="145">
        <f>IF(Outline!$C$14&gt;0,Gradesheet!AZ693,"NA")</f>
        <v>0</v>
      </c>
      <c r="G665" s="145">
        <f>IF(Outline!$C$14&gt;0,Gradesheet!U663,Gradesheet!AY663)</f>
        <v>0</v>
      </c>
      <c r="H665" s="146">
        <f t="shared" si="11"/>
        <v>0</v>
      </c>
    </row>
    <row r="666" spans="2:8" hidden="1" x14ac:dyDescent="0.25">
      <c r="B666" s="90">
        <f>Gradesheet!A694</f>
        <v>41</v>
      </c>
      <c r="C666" s="91">
        <f>(Gradesheet!B694)</f>
        <v>0</v>
      </c>
      <c r="D666" s="92">
        <f>IF(Outline!$C$14&gt;0,Gradesheet!AD694,Gradesheet!AK694)</f>
        <v>0</v>
      </c>
      <c r="E666" s="145">
        <f>IF(Outline!$C$14&gt;0,Gradesheet!L694,Gradesheet!AR694)</f>
        <v>0</v>
      </c>
      <c r="F666" s="145">
        <f>IF(Outline!$C$14&gt;0,Gradesheet!AZ694,"NA")</f>
        <v>0</v>
      </c>
      <c r="G666" s="145">
        <f>IF(Outline!$C$14&gt;0,Gradesheet!U664,Gradesheet!AY664)</f>
        <v>0</v>
      </c>
      <c r="H666" s="146">
        <f t="shared" si="11"/>
        <v>0</v>
      </c>
    </row>
    <row r="667" spans="2:8" hidden="1" x14ac:dyDescent="0.25">
      <c r="B667" s="90">
        <f>Gradesheet!A695</f>
        <v>42</v>
      </c>
      <c r="C667" s="91">
        <f>(Gradesheet!B695)</f>
        <v>0</v>
      </c>
      <c r="D667" s="92">
        <f>IF(Outline!$C$14&gt;0,Gradesheet!AD695,Gradesheet!AK695)</f>
        <v>0</v>
      </c>
      <c r="E667" s="145">
        <f>IF(Outline!$C$14&gt;0,Gradesheet!L695,Gradesheet!AR695)</f>
        <v>0</v>
      </c>
      <c r="F667" s="145">
        <f>IF(Outline!$C$14&gt;0,Gradesheet!AZ695,"NA")</f>
        <v>0</v>
      </c>
      <c r="G667" s="145">
        <f>IF(Outline!$C$14&gt;0,Gradesheet!U665,Gradesheet!AY665)</f>
        <v>0</v>
      </c>
      <c r="H667" s="146">
        <f t="shared" si="11"/>
        <v>0</v>
      </c>
    </row>
    <row r="668" spans="2:8" hidden="1" x14ac:dyDescent="0.25">
      <c r="B668" s="90">
        <f>Gradesheet!A696</f>
        <v>0</v>
      </c>
      <c r="C668" s="91">
        <f>(Gradesheet!B696)</f>
        <v>0</v>
      </c>
      <c r="D668" s="92">
        <f>IF(Outline!$C$14&gt;0,Gradesheet!AD696,Gradesheet!AK696)</f>
        <v>0</v>
      </c>
      <c r="E668" s="145">
        <f>IF(Outline!$C$14&gt;0,Gradesheet!L696,Gradesheet!AR696)</f>
        <v>0</v>
      </c>
      <c r="F668" s="145">
        <f>IF(Outline!$C$14&gt;0,Gradesheet!AZ696,"NA")</f>
        <v>0</v>
      </c>
      <c r="G668" s="145">
        <f>IF(Outline!$C$14&gt;0,Gradesheet!U666,Gradesheet!AY666)</f>
        <v>0</v>
      </c>
      <c r="H668" s="146">
        <f t="shared" si="11"/>
        <v>0</v>
      </c>
    </row>
    <row r="669" spans="2:8" hidden="1" x14ac:dyDescent="0.25">
      <c r="B669" s="90">
        <f>Gradesheet!A697</f>
        <v>1</v>
      </c>
      <c r="C669" s="91">
        <f>(Gradesheet!B697)</f>
        <v>0</v>
      </c>
      <c r="D669" s="92">
        <f>IF(Outline!$C$14&gt;0,Gradesheet!AD697,Gradesheet!AK697)</f>
        <v>0</v>
      </c>
      <c r="E669" s="145">
        <f>IF(Outline!$C$14&gt;0,Gradesheet!L697,Gradesheet!AR697)</f>
        <v>0</v>
      </c>
      <c r="F669" s="145">
        <f>IF(Outline!$C$14&gt;0,Gradesheet!AZ697,"NA")</f>
        <v>0</v>
      </c>
      <c r="G669" s="145">
        <f>IF(Outline!$C$14&gt;0,Gradesheet!U667,Gradesheet!AY667)</f>
        <v>0</v>
      </c>
      <c r="H669" s="146">
        <f t="shared" si="11"/>
        <v>0</v>
      </c>
    </row>
    <row r="670" spans="2:8" hidden="1" x14ac:dyDescent="0.25">
      <c r="B670" s="90">
        <f>Gradesheet!A698</f>
        <v>2</v>
      </c>
      <c r="C670" s="91">
        <f>(Gradesheet!B698)</f>
        <v>0</v>
      </c>
      <c r="D670" s="92">
        <f>IF(Outline!$C$14&gt;0,Gradesheet!AD698,Gradesheet!AK698)</f>
        <v>0</v>
      </c>
      <c r="E670" s="145">
        <f>IF(Outline!$C$14&gt;0,Gradesheet!L698,Gradesheet!AR698)</f>
        <v>0</v>
      </c>
      <c r="F670" s="145">
        <f>IF(Outline!$C$14&gt;0,Gradesheet!AZ698,"NA")</f>
        <v>0</v>
      </c>
      <c r="G670" s="145">
        <f>IF(Outline!$C$14&gt;0,Gradesheet!U668,Gradesheet!AY668)</f>
        <v>0</v>
      </c>
      <c r="H670" s="146">
        <f t="shared" si="11"/>
        <v>0</v>
      </c>
    </row>
    <row r="671" spans="2:8" hidden="1" x14ac:dyDescent="0.25">
      <c r="B671" s="90">
        <f>Gradesheet!A699</f>
        <v>3</v>
      </c>
      <c r="C671" s="91">
        <f>(Gradesheet!B699)</f>
        <v>0</v>
      </c>
      <c r="D671" s="92">
        <f>IF(Outline!$C$14&gt;0,Gradesheet!AD699,Gradesheet!AK699)</f>
        <v>0</v>
      </c>
      <c r="E671" s="145">
        <f>IF(Outline!$C$14&gt;0,Gradesheet!L699,Gradesheet!AR699)</f>
        <v>0</v>
      </c>
      <c r="F671" s="145">
        <f>IF(Outline!$C$14&gt;0,Gradesheet!AZ699,"NA")</f>
        <v>0</v>
      </c>
      <c r="G671" s="145">
        <f>IF(Outline!$C$14&gt;0,Gradesheet!U669,Gradesheet!AY669)</f>
        <v>0</v>
      </c>
      <c r="H671" s="146">
        <f t="shared" si="11"/>
        <v>0</v>
      </c>
    </row>
    <row r="672" spans="2:8" hidden="1" x14ac:dyDescent="0.25">
      <c r="B672" s="90">
        <f>Gradesheet!A700</f>
        <v>4</v>
      </c>
      <c r="C672" s="91">
        <f>(Gradesheet!B700)</f>
        <v>0</v>
      </c>
      <c r="D672" s="92">
        <f>IF(Outline!$C$14&gt;0,Gradesheet!AD700,Gradesheet!AK700)</f>
        <v>0</v>
      </c>
      <c r="E672" s="145">
        <f>IF(Outline!$C$14&gt;0,Gradesheet!L700,Gradesheet!AR700)</f>
        <v>0</v>
      </c>
      <c r="F672" s="145">
        <f>IF(Outline!$C$14&gt;0,Gradesheet!AZ700,"NA")</f>
        <v>0</v>
      </c>
      <c r="G672" s="145">
        <f>IF(Outline!$C$14&gt;0,Gradesheet!U670,Gradesheet!AY670)</f>
        <v>0</v>
      </c>
      <c r="H672" s="146">
        <f t="shared" si="11"/>
        <v>0</v>
      </c>
    </row>
    <row r="673" spans="2:8" hidden="1" x14ac:dyDescent="0.25">
      <c r="B673" s="90">
        <f>Gradesheet!A701</f>
        <v>5</v>
      </c>
      <c r="C673" s="91">
        <f>(Gradesheet!B701)</f>
        <v>0</v>
      </c>
      <c r="D673" s="92">
        <f>IF(Outline!$C$14&gt;0,Gradesheet!AD701,Gradesheet!AK701)</f>
        <v>0</v>
      </c>
      <c r="E673" s="145">
        <f>IF(Outline!$C$14&gt;0,Gradesheet!L701,Gradesheet!AR701)</f>
        <v>0</v>
      </c>
      <c r="F673" s="145">
        <f>IF(Outline!$C$14&gt;0,Gradesheet!AZ701,"NA")</f>
        <v>0</v>
      </c>
      <c r="G673" s="145">
        <f>IF(Outline!$C$14&gt;0,Gradesheet!U671,Gradesheet!AY671)</f>
        <v>0</v>
      </c>
      <c r="H673" s="146">
        <f t="shared" si="11"/>
        <v>0</v>
      </c>
    </row>
    <row r="674" spans="2:8" hidden="1" x14ac:dyDescent="0.25">
      <c r="B674" s="90">
        <f>Gradesheet!A702</f>
        <v>6</v>
      </c>
      <c r="C674" s="91">
        <f>(Gradesheet!B702)</f>
        <v>0</v>
      </c>
      <c r="D674" s="92">
        <f>IF(Outline!$C$14&gt;0,Gradesheet!AD702,Gradesheet!AK702)</f>
        <v>0</v>
      </c>
      <c r="E674" s="145">
        <f>IF(Outline!$C$14&gt;0,Gradesheet!L702,Gradesheet!AR702)</f>
        <v>0</v>
      </c>
      <c r="F674" s="145">
        <f>IF(Outline!$C$14&gt;0,Gradesheet!AZ702,"NA")</f>
        <v>0</v>
      </c>
      <c r="G674" s="145">
        <f>IF(Outline!$C$14&gt;0,Gradesheet!U672,Gradesheet!AY672)</f>
        <v>0</v>
      </c>
      <c r="H674" s="146">
        <f t="shared" si="11"/>
        <v>0</v>
      </c>
    </row>
    <row r="675" spans="2:8" hidden="1" x14ac:dyDescent="0.25">
      <c r="B675" s="90">
        <f>Gradesheet!A703</f>
        <v>7</v>
      </c>
      <c r="C675" s="91">
        <f>(Gradesheet!B703)</f>
        <v>0</v>
      </c>
      <c r="D675" s="92">
        <f>IF(Outline!$C$14&gt;0,Gradesheet!AD703,Gradesheet!AK703)</f>
        <v>0</v>
      </c>
      <c r="E675" s="145">
        <f>IF(Outline!$C$14&gt;0,Gradesheet!L703,Gradesheet!AR703)</f>
        <v>0</v>
      </c>
      <c r="F675" s="145">
        <f>IF(Outline!$C$14&gt;0,Gradesheet!AZ703,"NA")</f>
        <v>0</v>
      </c>
      <c r="G675" s="145">
        <f>IF(Outline!$C$14&gt;0,Gradesheet!U673,Gradesheet!AY673)</f>
        <v>0</v>
      </c>
      <c r="H675" s="146">
        <f t="shared" si="11"/>
        <v>0</v>
      </c>
    </row>
    <row r="676" spans="2:8" hidden="1" x14ac:dyDescent="0.25">
      <c r="B676" s="90">
        <f>Gradesheet!A704</f>
        <v>8</v>
      </c>
      <c r="C676" s="91">
        <f>(Gradesheet!B704)</f>
        <v>0</v>
      </c>
      <c r="D676" s="92">
        <f>IF(Outline!$C$14&gt;0,Gradesheet!AD704,Gradesheet!AK704)</f>
        <v>0</v>
      </c>
      <c r="E676" s="145">
        <f>IF(Outline!$C$14&gt;0,Gradesheet!L704,Gradesheet!AR704)</f>
        <v>0</v>
      </c>
      <c r="F676" s="145">
        <f>IF(Outline!$C$14&gt;0,Gradesheet!AZ704,"NA")</f>
        <v>0</v>
      </c>
      <c r="G676" s="145">
        <f>IF(Outline!$C$14&gt;0,Gradesheet!U674,Gradesheet!AY674)</f>
        <v>0</v>
      </c>
      <c r="H676" s="146">
        <f t="shared" si="11"/>
        <v>0</v>
      </c>
    </row>
    <row r="677" spans="2:8" hidden="1" x14ac:dyDescent="0.25">
      <c r="B677" s="90">
        <f>Gradesheet!A705</f>
        <v>9</v>
      </c>
      <c r="C677" s="91">
        <f>(Gradesheet!B705)</f>
        <v>0</v>
      </c>
      <c r="D677" s="92">
        <f>IF(Outline!$C$14&gt;0,Gradesheet!AD705,Gradesheet!AK705)</f>
        <v>0</v>
      </c>
      <c r="E677" s="145">
        <f>IF(Outline!$C$14&gt;0,Gradesheet!L705,Gradesheet!AR705)</f>
        <v>0</v>
      </c>
      <c r="F677" s="145">
        <f>IF(Outline!$C$14&gt;0,Gradesheet!AZ705,"NA")</f>
        <v>0</v>
      </c>
      <c r="G677" s="145">
        <f>IF(Outline!$C$14&gt;0,Gradesheet!U675,Gradesheet!AY675)</f>
        <v>0</v>
      </c>
      <c r="H677" s="146">
        <f t="shared" si="11"/>
        <v>0</v>
      </c>
    </row>
    <row r="678" spans="2:8" hidden="1" x14ac:dyDescent="0.25">
      <c r="B678" s="90">
        <f>Gradesheet!A706</f>
        <v>10</v>
      </c>
      <c r="C678" s="91">
        <f>(Gradesheet!B706)</f>
        <v>0</v>
      </c>
      <c r="D678" s="92">
        <f>IF(Outline!$C$14&gt;0,Gradesheet!AD706,Gradesheet!AK706)</f>
        <v>0</v>
      </c>
      <c r="E678" s="145">
        <f>IF(Outline!$C$14&gt;0,Gradesheet!L706,Gradesheet!AR706)</f>
        <v>0</v>
      </c>
      <c r="F678" s="145">
        <f>IF(Outline!$C$14&gt;0,Gradesheet!AZ706,"NA")</f>
        <v>0</v>
      </c>
      <c r="G678" s="145">
        <f>IF(Outline!$C$14&gt;0,Gradesheet!U676,Gradesheet!AY676)</f>
        <v>0</v>
      </c>
      <c r="H678" s="146">
        <f t="shared" si="11"/>
        <v>0</v>
      </c>
    </row>
    <row r="679" spans="2:8" hidden="1" x14ac:dyDescent="0.25">
      <c r="B679" s="90">
        <f>Gradesheet!A707</f>
        <v>11</v>
      </c>
      <c r="C679" s="91">
        <f>(Gradesheet!B707)</f>
        <v>0</v>
      </c>
      <c r="D679" s="92">
        <f>IF(Outline!$C$14&gt;0,Gradesheet!AD707,Gradesheet!AK707)</f>
        <v>0</v>
      </c>
      <c r="E679" s="145">
        <f>IF(Outline!$C$14&gt;0,Gradesheet!L707,Gradesheet!AR707)</f>
        <v>0</v>
      </c>
      <c r="F679" s="145">
        <f>IF(Outline!$C$14&gt;0,Gradesheet!AZ707,"NA")</f>
        <v>0</v>
      </c>
      <c r="G679" s="145">
        <f>IF(Outline!$C$14&gt;0,Gradesheet!U677,Gradesheet!AY677)</f>
        <v>0</v>
      </c>
      <c r="H679" s="146">
        <f t="shared" si="11"/>
        <v>0</v>
      </c>
    </row>
    <row r="680" spans="2:8" hidden="1" x14ac:dyDescent="0.25">
      <c r="B680" s="90">
        <f>Gradesheet!A708</f>
        <v>12</v>
      </c>
      <c r="C680" s="91">
        <f>(Gradesheet!B708)</f>
        <v>0</v>
      </c>
      <c r="D680" s="92">
        <f>IF(Outline!$C$14&gt;0,Gradesheet!AD708,Gradesheet!AK708)</f>
        <v>0</v>
      </c>
      <c r="E680" s="145">
        <f>IF(Outline!$C$14&gt;0,Gradesheet!L708,Gradesheet!AR708)</f>
        <v>0</v>
      </c>
      <c r="F680" s="145">
        <f>IF(Outline!$C$14&gt;0,Gradesheet!AZ708,"NA")</f>
        <v>0</v>
      </c>
      <c r="G680" s="145">
        <f>IF(Outline!$C$14&gt;0,Gradesheet!U678,Gradesheet!AY678)</f>
        <v>0</v>
      </c>
      <c r="H680" s="146">
        <f t="shared" si="11"/>
        <v>0</v>
      </c>
    </row>
    <row r="681" spans="2:8" hidden="1" x14ac:dyDescent="0.25">
      <c r="B681" s="90">
        <f>Gradesheet!A709</f>
        <v>13</v>
      </c>
      <c r="C681" s="91">
        <f>(Gradesheet!B709)</f>
        <v>0</v>
      </c>
      <c r="D681" s="92">
        <f>IF(Outline!$C$14&gt;0,Gradesheet!AD709,Gradesheet!AK709)</f>
        <v>0</v>
      </c>
      <c r="E681" s="145">
        <f>IF(Outline!$C$14&gt;0,Gradesheet!L709,Gradesheet!AR709)</f>
        <v>0</v>
      </c>
      <c r="F681" s="145">
        <f>IF(Outline!$C$14&gt;0,Gradesheet!AZ709,"NA")</f>
        <v>0</v>
      </c>
      <c r="G681" s="145">
        <f>IF(Outline!$C$14&gt;0,Gradesheet!U679,Gradesheet!AY679)</f>
        <v>0</v>
      </c>
      <c r="H681" s="146">
        <f t="shared" si="11"/>
        <v>0</v>
      </c>
    </row>
    <row r="682" spans="2:8" hidden="1" x14ac:dyDescent="0.25">
      <c r="B682" s="90">
        <f>Gradesheet!A710</f>
        <v>14</v>
      </c>
      <c r="C682" s="91">
        <f>(Gradesheet!B710)</f>
        <v>0</v>
      </c>
      <c r="D682" s="92">
        <f>IF(Outline!$C$14&gt;0,Gradesheet!AD710,Gradesheet!AK710)</f>
        <v>0</v>
      </c>
      <c r="E682" s="145">
        <f>IF(Outline!$C$14&gt;0,Gradesheet!L710,Gradesheet!AR710)</f>
        <v>0</v>
      </c>
      <c r="F682" s="145">
        <f>IF(Outline!$C$14&gt;0,Gradesheet!AZ710,"NA")</f>
        <v>0</v>
      </c>
      <c r="G682" s="145">
        <f>IF(Outline!$C$14&gt;0,Gradesheet!U680,Gradesheet!AY680)</f>
        <v>0</v>
      </c>
      <c r="H682" s="146">
        <f t="shared" si="11"/>
        <v>0</v>
      </c>
    </row>
    <row r="683" spans="2:8" hidden="1" x14ac:dyDescent="0.25">
      <c r="B683" s="90">
        <f>Gradesheet!A711</f>
        <v>15</v>
      </c>
      <c r="C683" s="91">
        <f>(Gradesheet!B711)</f>
        <v>0</v>
      </c>
      <c r="D683" s="92">
        <f>IF(Outline!$C$14&gt;0,Gradesheet!AD711,Gradesheet!AK711)</f>
        <v>0</v>
      </c>
      <c r="E683" s="145">
        <f>IF(Outline!$C$14&gt;0,Gradesheet!L711,Gradesheet!AR711)</f>
        <v>0</v>
      </c>
      <c r="F683" s="145">
        <f>IF(Outline!$C$14&gt;0,Gradesheet!AZ711,"NA")</f>
        <v>0</v>
      </c>
      <c r="G683" s="145">
        <f>IF(Outline!$C$14&gt;0,Gradesheet!U681,Gradesheet!AY681)</f>
        <v>0</v>
      </c>
      <c r="H683" s="146">
        <f t="shared" si="11"/>
        <v>0</v>
      </c>
    </row>
    <row r="684" spans="2:8" hidden="1" x14ac:dyDescent="0.25">
      <c r="B684" s="90">
        <f>Gradesheet!A712</f>
        <v>16</v>
      </c>
      <c r="C684" s="91">
        <f>(Gradesheet!B712)</f>
        <v>0</v>
      </c>
      <c r="D684" s="92">
        <f>IF(Outline!$C$14&gt;0,Gradesheet!AD712,Gradesheet!AK712)</f>
        <v>0</v>
      </c>
      <c r="E684" s="145">
        <f>IF(Outline!$C$14&gt;0,Gradesheet!L712,Gradesheet!AR712)</f>
        <v>0</v>
      </c>
      <c r="F684" s="145">
        <f>IF(Outline!$C$14&gt;0,Gradesheet!AZ712,"NA")</f>
        <v>0</v>
      </c>
      <c r="G684" s="145">
        <f>IF(Outline!$C$14&gt;0,Gradesheet!U682,Gradesheet!AY682)</f>
        <v>0</v>
      </c>
      <c r="H684" s="146">
        <f t="shared" si="11"/>
        <v>0</v>
      </c>
    </row>
    <row r="685" spans="2:8" hidden="1" x14ac:dyDescent="0.25">
      <c r="B685" s="90">
        <f>Gradesheet!A713</f>
        <v>17</v>
      </c>
      <c r="C685" s="91">
        <f>(Gradesheet!B713)</f>
        <v>0</v>
      </c>
      <c r="D685" s="92">
        <f>IF(Outline!$C$14&gt;0,Gradesheet!AD713,Gradesheet!AK713)</f>
        <v>0</v>
      </c>
      <c r="E685" s="145">
        <f>IF(Outline!$C$14&gt;0,Gradesheet!L713,Gradesheet!AR713)</f>
        <v>0</v>
      </c>
      <c r="F685" s="145">
        <f>IF(Outline!$C$14&gt;0,Gradesheet!AZ713,"NA")</f>
        <v>0</v>
      </c>
      <c r="G685" s="145">
        <f>IF(Outline!$C$14&gt;0,Gradesheet!U683,Gradesheet!AY683)</f>
        <v>0</v>
      </c>
      <c r="H685" s="146">
        <f t="shared" si="11"/>
        <v>0</v>
      </c>
    </row>
    <row r="686" spans="2:8" hidden="1" x14ac:dyDescent="0.25">
      <c r="B686" s="90">
        <f>Gradesheet!A714</f>
        <v>18</v>
      </c>
      <c r="C686" s="91">
        <f>(Gradesheet!B714)</f>
        <v>0</v>
      </c>
      <c r="D686" s="92">
        <f>IF(Outline!$C$14&gt;0,Gradesheet!AD714,Gradesheet!AK714)</f>
        <v>0</v>
      </c>
      <c r="E686" s="145">
        <f>IF(Outline!$C$14&gt;0,Gradesheet!L714,Gradesheet!AR714)</f>
        <v>0</v>
      </c>
      <c r="F686" s="145">
        <f>IF(Outline!$C$14&gt;0,Gradesheet!AZ714,"NA")</f>
        <v>0</v>
      </c>
      <c r="G686" s="145">
        <f>IF(Outline!$C$14&gt;0,Gradesheet!U684,Gradesheet!AY684)</f>
        <v>0</v>
      </c>
      <c r="H686" s="146">
        <f t="shared" si="11"/>
        <v>0</v>
      </c>
    </row>
    <row r="687" spans="2:8" hidden="1" x14ac:dyDescent="0.25">
      <c r="B687" s="90">
        <f>Gradesheet!A715</f>
        <v>19</v>
      </c>
      <c r="C687" s="91">
        <f>(Gradesheet!B715)</f>
        <v>0</v>
      </c>
      <c r="D687" s="92">
        <f>IF(Outline!$C$14&gt;0,Gradesheet!AD715,Gradesheet!AK715)</f>
        <v>0</v>
      </c>
      <c r="E687" s="145">
        <f>IF(Outline!$C$14&gt;0,Gradesheet!L715,Gradesheet!AR715)</f>
        <v>0</v>
      </c>
      <c r="F687" s="145">
        <f>IF(Outline!$C$14&gt;0,Gradesheet!AZ715,"NA")</f>
        <v>0</v>
      </c>
      <c r="G687" s="145">
        <f>IF(Outline!$C$14&gt;0,Gradesheet!U685,Gradesheet!AY685)</f>
        <v>0</v>
      </c>
      <c r="H687" s="146">
        <f t="shared" si="11"/>
        <v>0</v>
      </c>
    </row>
    <row r="688" spans="2:8" hidden="1" x14ac:dyDescent="0.25">
      <c r="B688" s="90">
        <f>Gradesheet!A716</f>
        <v>20</v>
      </c>
      <c r="C688" s="91">
        <f>(Gradesheet!B716)</f>
        <v>0</v>
      </c>
      <c r="D688" s="92">
        <f>IF(Outline!$C$14&gt;0,Gradesheet!AD716,Gradesheet!AK716)</f>
        <v>0</v>
      </c>
      <c r="E688" s="145">
        <f>IF(Outline!$C$14&gt;0,Gradesheet!L716,Gradesheet!AR716)</f>
        <v>0</v>
      </c>
      <c r="F688" s="145">
        <f>IF(Outline!$C$14&gt;0,Gradesheet!AZ716,"NA")</f>
        <v>0</v>
      </c>
      <c r="G688" s="145">
        <f>IF(Outline!$C$14&gt;0,Gradesheet!U686,Gradesheet!AY686)</f>
        <v>0</v>
      </c>
      <c r="H688" s="146">
        <f t="shared" si="11"/>
        <v>0</v>
      </c>
    </row>
    <row r="689" spans="2:8" hidden="1" x14ac:dyDescent="0.25">
      <c r="B689" s="90">
        <f>Gradesheet!A717</f>
        <v>21</v>
      </c>
      <c r="C689" s="91">
        <f>(Gradesheet!B717)</f>
        <v>0</v>
      </c>
      <c r="D689" s="92">
        <f>IF(Outline!$C$14&gt;0,Gradesheet!AD717,Gradesheet!AK717)</f>
        <v>0</v>
      </c>
      <c r="E689" s="145">
        <f>IF(Outline!$C$14&gt;0,Gradesheet!L717,Gradesheet!AR717)</f>
        <v>0</v>
      </c>
      <c r="F689" s="145">
        <f>IF(Outline!$C$14&gt;0,Gradesheet!AZ717,"NA")</f>
        <v>0</v>
      </c>
      <c r="G689" s="145">
        <f>IF(Outline!$C$14&gt;0,Gradesheet!U687,Gradesheet!AY687)</f>
        <v>0</v>
      </c>
      <c r="H689" s="146">
        <f t="shared" si="11"/>
        <v>0</v>
      </c>
    </row>
    <row r="690" spans="2:8" hidden="1" x14ac:dyDescent="0.25">
      <c r="B690" s="90">
        <f>Gradesheet!A718</f>
        <v>22</v>
      </c>
      <c r="C690" s="91">
        <f>(Gradesheet!B718)</f>
        <v>0</v>
      </c>
      <c r="D690" s="92">
        <f>IF(Outline!$C$14&gt;0,Gradesheet!AD718,Gradesheet!AK718)</f>
        <v>0</v>
      </c>
      <c r="E690" s="145">
        <f>IF(Outline!$C$14&gt;0,Gradesheet!L718,Gradesheet!AR718)</f>
        <v>0</v>
      </c>
      <c r="F690" s="145">
        <f>IF(Outline!$C$14&gt;0,Gradesheet!AZ718,"NA")</f>
        <v>0</v>
      </c>
      <c r="G690" s="145">
        <f>IF(Outline!$C$14&gt;0,Gradesheet!U688,Gradesheet!AY688)</f>
        <v>0</v>
      </c>
      <c r="H690" s="146">
        <f t="shared" si="11"/>
        <v>0</v>
      </c>
    </row>
    <row r="691" spans="2:8" hidden="1" x14ac:dyDescent="0.25">
      <c r="B691" s="90">
        <f>Gradesheet!A719</f>
        <v>23</v>
      </c>
      <c r="C691" s="91">
        <f>(Gradesheet!B719)</f>
        <v>0</v>
      </c>
      <c r="D691" s="92">
        <f>IF(Outline!$C$14&gt;0,Gradesheet!AD719,Gradesheet!AK719)</f>
        <v>0</v>
      </c>
      <c r="E691" s="145">
        <f>IF(Outline!$C$14&gt;0,Gradesheet!L719,Gradesheet!AR719)</f>
        <v>0</v>
      </c>
      <c r="F691" s="145">
        <f>IF(Outline!$C$14&gt;0,Gradesheet!AZ719,"NA")</f>
        <v>0</v>
      </c>
      <c r="G691" s="145">
        <f>IF(Outline!$C$14&gt;0,Gradesheet!U689,Gradesheet!AY689)</f>
        <v>0</v>
      </c>
      <c r="H691" s="146">
        <f t="shared" si="11"/>
        <v>0</v>
      </c>
    </row>
    <row r="692" spans="2:8" hidden="1" x14ac:dyDescent="0.25">
      <c r="B692" s="90">
        <f>Gradesheet!A720</f>
        <v>24</v>
      </c>
      <c r="C692" s="91">
        <f>(Gradesheet!B720)</f>
        <v>0</v>
      </c>
      <c r="D692" s="92">
        <f>IF(Outline!$C$14&gt;0,Gradesheet!AD720,Gradesheet!AK720)</f>
        <v>0</v>
      </c>
      <c r="E692" s="145">
        <f>IF(Outline!$C$14&gt;0,Gradesheet!L720,Gradesheet!AR720)</f>
        <v>0</v>
      </c>
      <c r="F692" s="145">
        <f>IF(Outline!$C$14&gt;0,Gradesheet!AZ720,"NA")</f>
        <v>0</v>
      </c>
      <c r="G692" s="145">
        <f>IF(Outline!$C$14&gt;0,Gradesheet!U690,Gradesheet!AY690)</f>
        <v>0</v>
      </c>
      <c r="H692" s="146">
        <f t="shared" si="11"/>
        <v>0</v>
      </c>
    </row>
    <row r="693" spans="2:8" hidden="1" x14ac:dyDescent="0.25">
      <c r="B693" s="90">
        <f>Gradesheet!A721</f>
        <v>25</v>
      </c>
      <c r="C693" s="91">
        <f>(Gradesheet!B721)</f>
        <v>0</v>
      </c>
      <c r="D693" s="92">
        <f>IF(Outline!$C$14&gt;0,Gradesheet!AD721,Gradesheet!AK721)</f>
        <v>0</v>
      </c>
      <c r="E693" s="145">
        <f>IF(Outline!$C$14&gt;0,Gradesheet!L721,Gradesheet!AR721)</f>
        <v>0</v>
      </c>
      <c r="F693" s="145">
        <f>IF(Outline!$C$14&gt;0,Gradesheet!AZ721,"NA")</f>
        <v>0</v>
      </c>
      <c r="G693" s="145">
        <f>IF(Outline!$C$14&gt;0,Gradesheet!U691,Gradesheet!AY691)</f>
        <v>0</v>
      </c>
      <c r="H693" s="146">
        <f t="shared" si="11"/>
        <v>0</v>
      </c>
    </row>
    <row r="694" spans="2:8" hidden="1" x14ac:dyDescent="0.25">
      <c r="B694" s="90">
        <f>Gradesheet!A722</f>
        <v>26</v>
      </c>
      <c r="C694" s="91">
        <f>(Gradesheet!B722)</f>
        <v>0</v>
      </c>
      <c r="D694" s="92">
        <f>IF(Outline!$C$14&gt;0,Gradesheet!AD722,Gradesheet!AK722)</f>
        <v>0</v>
      </c>
      <c r="E694" s="145">
        <f>IF(Outline!$C$14&gt;0,Gradesheet!L722,Gradesheet!AR722)</f>
        <v>0</v>
      </c>
      <c r="F694" s="145">
        <f>IF(Outline!$C$14&gt;0,Gradesheet!AZ722,"NA")</f>
        <v>0</v>
      </c>
      <c r="G694" s="145">
        <f>IF(Outline!$C$14&gt;0,Gradesheet!U692,Gradesheet!AY692)</f>
        <v>0</v>
      </c>
      <c r="H694" s="146">
        <f t="shared" si="11"/>
        <v>0</v>
      </c>
    </row>
    <row r="695" spans="2:8" hidden="1" x14ac:dyDescent="0.25">
      <c r="B695" s="90">
        <f>Gradesheet!A723</f>
        <v>27</v>
      </c>
      <c r="C695" s="91">
        <f>(Gradesheet!B723)</f>
        <v>0</v>
      </c>
      <c r="D695" s="92">
        <f>IF(Outline!$C$14&gt;0,Gradesheet!AD723,Gradesheet!AK723)</f>
        <v>0</v>
      </c>
      <c r="E695" s="145">
        <f>IF(Outline!$C$14&gt;0,Gradesheet!L723,Gradesheet!AR723)</f>
        <v>0</v>
      </c>
      <c r="F695" s="145">
        <f>IF(Outline!$C$14&gt;0,Gradesheet!AZ723,"NA")</f>
        <v>0</v>
      </c>
      <c r="G695" s="145">
        <f>IF(Outline!$C$14&gt;0,Gradesheet!U693,Gradesheet!AY693)</f>
        <v>0</v>
      </c>
      <c r="H695" s="146">
        <f t="shared" si="11"/>
        <v>0</v>
      </c>
    </row>
    <row r="696" spans="2:8" hidden="1" x14ac:dyDescent="0.25">
      <c r="B696" s="90">
        <f>Gradesheet!A724</f>
        <v>28</v>
      </c>
      <c r="C696" s="91">
        <f>(Gradesheet!B724)</f>
        <v>0</v>
      </c>
      <c r="D696" s="92">
        <f>IF(Outline!$C$14&gt;0,Gradesheet!AD724,Gradesheet!AK724)</f>
        <v>0</v>
      </c>
      <c r="E696" s="145">
        <f>IF(Outline!$C$14&gt;0,Gradesheet!L724,Gradesheet!AR724)</f>
        <v>0</v>
      </c>
      <c r="F696" s="145">
        <f>IF(Outline!$C$14&gt;0,Gradesheet!AZ724,"NA")</f>
        <v>0</v>
      </c>
      <c r="G696" s="145">
        <f>IF(Outline!$C$14&gt;0,Gradesheet!U694,Gradesheet!AY694)</f>
        <v>0</v>
      </c>
      <c r="H696" s="146">
        <f t="shared" si="11"/>
        <v>0</v>
      </c>
    </row>
    <row r="697" spans="2:8" hidden="1" x14ac:dyDescent="0.25">
      <c r="B697" s="90">
        <f>Gradesheet!A725</f>
        <v>29</v>
      </c>
      <c r="C697" s="91">
        <f>(Gradesheet!B725)</f>
        <v>0</v>
      </c>
      <c r="D697" s="92">
        <f>IF(Outline!$C$14&gt;0,Gradesheet!AD725,Gradesheet!AK725)</f>
        <v>0</v>
      </c>
      <c r="E697" s="145">
        <f>IF(Outline!$C$14&gt;0,Gradesheet!L725,Gradesheet!AR725)</f>
        <v>0</v>
      </c>
      <c r="F697" s="145">
        <f>IF(Outline!$C$14&gt;0,Gradesheet!AZ725,"NA")</f>
        <v>0</v>
      </c>
      <c r="G697" s="145">
        <f>IF(Outline!$C$14&gt;0,Gradesheet!U695,Gradesheet!AY695)</f>
        <v>0</v>
      </c>
      <c r="H697" s="146">
        <f t="shared" si="11"/>
        <v>0</v>
      </c>
    </row>
    <row r="698" spans="2:8" hidden="1" x14ac:dyDescent="0.25">
      <c r="B698" s="90">
        <f>Gradesheet!A726</f>
        <v>30</v>
      </c>
      <c r="C698" s="91">
        <f>(Gradesheet!B726)</f>
        <v>0</v>
      </c>
      <c r="D698" s="92">
        <f>IF(Outline!$C$14&gt;0,Gradesheet!AD726,Gradesheet!AK726)</f>
        <v>0</v>
      </c>
      <c r="E698" s="145">
        <f>IF(Outline!$C$14&gt;0,Gradesheet!L726,Gradesheet!AR726)</f>
        <v>0</v>
      </c>
      <c r="F698" s="145">
        <f>IF(Outline!$C$14&gt;0,Gradesheet!AZ726,"NA")</f>
        <v>0</v>
      </c>
      <c r="G698" s="145">
        <f>IF(Outline!$C$14&gt;0,Gradesheet!U696,Gradesheet!AY696)</f>
        <v>0</v>
      </c>
      <c r="H698" s="146">
        <f t="shared" si="11"/>
        <v>0</v>
      </c>
    </row>
    <row r="699" spans="2:8" hidden="1" x14ac:dyDescent="0.25">
      <c r="B699" s="90">
        <f>Gradesheet!A727</f>
        <v>31</v>
      </c>
      <c r="C699" s="91">
        <f>(Gradesheet!B727)</f>
        <v>0</v>
      </c>
      <c r="D699" s="92">
        <f>IF(Outline!$C$14&gt;0,Gradesheet!AD727,Gradesheet!AK727)</f>
        <v>0</v>
      </c>
      <c r="E699" s="145">
        <f>IF(Outline!$C$14&gt;0,Gradesheet!L727,Gradesheet!AR727)</f>
        <v>0</v>
      </c>
      <c r="F699" s="145">
        <f>IF(Outline!$C$14&gt;0,Gradesheet!AZ727,"NA")</f>
        <v>0</v>
      </c>
      <c r="G699" s="145">
        <f>IF(Outline!$C$14&gt;0,Gradesheet!U697,Gradesheet!AY697)</f>
        <v>0</v>
      </c>
      <c r="H699" s="146">
        <f t="shared" si="11"/>
        <v>0</v>
      </c>
    </row>
    <row r="700" spans="2:8" hidden="1" x14ac:dyDescent="0.25">
      <c r="B700" s="90">
        <f>Gradesheet!A728</f>
        <v>32</v>
      </c>
      <c r="C700" s="91">
        <f>(Gradesheet!B728)</f>
        <v>0</v>
      </c>
      <c r="D700" s="92">
        <f>IF(Outline!$C$14&gt;0,Gradesheet!AD728,Gradesheet!AK728)</f>
        <v>0</v>
      </c>
      <c r="E700" s="145">
        <f>IF(Outline!$C$14&gt;0,Gradesheet!L728,Gradesheet!AR728)</f>
        <v>0</v>
      </c>
      <c r="F700" s="145">
        <f>IF(Outline!$C$14&gt;0,Gradesheet!AZ728,"NA")</f>
        <v>0</v>
      </c>
      <c r="G700" s="145">
        <f>IF(Outline!$C$14&gt;0,Gradesheet!U698,Gradesheet!AY698)</f>
        <v>0</v>
      </c>
      <c r="H700" s="146">
        <f t="shared" si="11"/>
        <v>0</v>
      </c>
    </row>
    <row r="701" spans="2:8" hidden="1" x14ac:dyDescent="0.25">
      <c r="B701" s="90">
        <f>Gradesheet!A729</f>
        <v>33</v>
      </c>
      <c r="C701" s="91">
        <f>(Gradesheet!B729)</f>
        <v>0</v>
      </c>
      <c r="D701" s="92">
        <f>IF(Outline!$C$14&gt;0,Gradesheet!AD729,Gradesheet!AK729)</f>
        <v>0</v>
      </c>
      <c r="E701" s="145">
        <f>IF(Outline!$C$14&gt;0,Gradesheet!L729,Gradesheet!AR729)</f>
        <v>0</v>
      </c>
      <c r="F701" s="145">
        <f>IF(Outline!$C$14&gt;0,Gradesheet!AZ729,"NA")</f>
        <v>0</v>
      </c>
      <c r="G701" s="145">
        <f>IF(Outline!$C$14&gt;0,Gradesheet!U699,Gradesheet!AY699)</f>
        <v>0</v>
      </c>
      <c r="H701" s="146">
        <f t="shared" si="11"/>
        <v>0</v>
      </c>
    </row>
    <row r="702" spans="2:8" hidden="1" x14ac:dyDescent="0.25">
      <c r="B702" s="90">
        <f>Gradesheet!A730</f>
        <v>34</v>
      </c>
      <c r="C702" s="91">
        <f>(Gradesheet!B730)</f>
        <v>0</v>
      </c>
      <c r="D702" s="92">
        <f>IF(Outline!$C$14&gt;0,Gradesheet!AD730,Gradesheet!AK730)</f>
        <v>0</v>
      </c>
      <c r="E702" s="145">
        <f>IF(Outline!$C$14&gt;0,Gradesheet!L730,Gradesheet!AR730)</f>
        <v>0</v>
      </c>
      <c r="F702" s="145">
        <f>IF(Outline!$C$14&gt;0,Gradesheet!AZ730,"NA")</f>
        <v>0</v>
      </c>
      <c r="G702" s="145">
        <f>IF(Outline!$C$14&gt;0,Gradesheet!U700,Gradesheet!AY700)</f>
        <v>0</v>
      </c>
      <c r="H702" s="146">
        <f t="shared" si="11"/>
        <v>0</v>
      </c>
    </row>
    <row r="703" spans="2:8" hidden="1" x14ac:dyDescent="0.25">
      <c r="B703" s="90">
        <f>Gradesheet!A731</f>
        <v>35</v>
      </c>
      <c r="C703" s="91">
        <f>(Gradesheet!B731)</f>
        <v>0</v>
      </c>
      <c r="D703" s="92">
        <f>IF(Outline!$C$14&gt;0,Gradesheet!AD731,Gradesheet!AK731)</f>
        <v>0</v>
      </c>
      <c r="E703" s="145">
        <f>IF(Outline!$C$14&gt;0,Gradesheet!L731,Gradesheet!AR731)</f>
        <v>0</v>
      </c>
      <c r="F703" s="145">
        <f>IF(Outline!$C$14&gt;0,Gradesheet!AZ731,"NA")</f>
        <v>0</v>
      </c>
      <c r="G703" s="145">
        <f>IF(Outline!$C$14&gt;0,Gradesheet!U701,Gradesheet!AY701)</f>
        <v>0</v>
      </c>
      <c r="H703" s="146">
        <f t="shared" si="11"/>
        <v>0</v>
      </c>
    </row>
    <row r="704" spans="2:8" hidden="1" x14ac:dyDescent="0.25">
      <c r="B704" s="90">
        <f>Gradesheet!A732</f>
        <v>36</v>
      </c>
      <c r="C704" s="91">
        <f>(Gradesheet!B732)</f>
        <v>0</v>
      </c>
      <c r="D704" s="92">
        <f>IF(Outline!$C$14&gt;0,Gradesheet!AD732,Gradesheet!AK732)</f>
        <v>0</v>
      </c>
      <c r="E704" s="145">
        <f>IF(Outline!$C$14&gt;0,Gradesheet!L732,Gradesheet!AR732)</f>
        <v>0</v>
      </c>
      <c r="F704" s="145">
        <f>IF(Outline!$C$14&gt;0,Gradesheet!AZ732,"NA")</f>
        <v>0</v>
      </c>
      <c r="G704" s="145">
        <f>IF(Outline!$C$14&gt;0,Gradesheet!U702,Gradesheet!AY702)</f>
        <v>0</v>
      </c>
      <c r="H704" s="146">
        <f t="shared" si="11"/>
        <v>0</v>
      </c>
    </row>
    <row r="705" spans="2:8" hidden="1" x14ac:dyDescent="0.25">
      <c r="B705" s="90">
        <f>Gradesheet!A733</f>
        <v>37</v>
      </c>
      <c r="C705" s="91">
        <f>(Gradesheet!B733)</f>
        <v>0</v>
      </c>
      <c r="D705" s="92">
        <f>IF(Outline!$C$14&gt;0,Gradesheet!AD733,Gradesheet!AK733)</f>
        <v>0</v>
      </c>
      <c r="E705" s="145">
        <f>IF(Outline!$C$14&gt;0,Gradesheet!L733,Gradesheet!AR733)</f>
        <v>0</v>
      </c>
      <c r="F705" s="145">
        <f>IF(Outline!$C$14&gt;0,Gradesheet!AZ733,"NA")</f>
        <v>0</v>
      </c>
      <c r="G705" s="145">
        <f>IF(Outline!$C$14&gt;0,Gradesheet!U703,Gradesheet!AY703)</f>
        <v>0</v>
      </c>
      <c r="H705" s="146">
        <f t="shared" si="11"/>
        <v>0</v>
      </c>
    </row>
    <row r="706" spans="2:8" hidden="1" x14ac:dyDescent="0.25">
      <c r="B706" s="90">
        <f>Gradesheet!A734</f>
        <v>38</v>
      </c>
      <c r="C706" s="91">
        <f>(Gradesheet!B734)</f>
        <v>0</v>
      </c>
      <c r="D706" s="92">
        <f>IF(Outline!$C$14&gt;0,Gradesheet!AD734,Gradesheet!AK734)</f>
        <v>0</v>
      </c>
      <c r="E706" s="145">
        <f>IF(Outline!$C$14&gt;0,Gradesheet!L734,Gradesheet!AR734)</f>
        <v>0</v>
      </c>
      <c r="F706" s="145">
        <f>IF(Outline!$C$14&gt;0,Gradesheet!AZ734,"NA")</f>
        <v>0</v>
      </c>
      <c r="G706" s="145">
        <f>IF(Outline!$C$14&gt;0,Gradesheet!U704,Gradesheet!AY704)</f>
        <v>0</v>
      </c>
      <c r="H706" s="146">
        <f t="shared" si="11"/>
        <v>0</v>
      </c>
    </row>
    <row r="707" spans="2:8" hidden="1" x14ac:dyDescent="0.25">
      <c r="B707" s="90">
        <f>Gradesheet!A735</f>
        <v>39</v>
      </c>
      <c r="C707" s="91">
        <f>(Gradesheet!B735)</f>
        <v>0</v>
      </c>
      <c r="D707" s="92">
        <f>IF(Outline!$C$14&gt;0,Gradesheet!AD735,Gradesheet!AK735)</f>
        <v>0</v>
      </c>
      <c r="E707" s="145">
        <f>IF(Outline!$C$14&gt;0,Gradesheet!L735,Gradesheet!AR735)</f>
        <v>0</v>
      </c>
      <c r="F707" s="145">
        <f>IF(Outline!$C$14&gt;0,Gradesheet!AZ735,"NA")</f>
        <v>0</v>
      </c>
      <c r="G707" s="145">
        <f>IF(Outline!$C$14&gt;0,Gradesheet!U705,Gradesheet!AY705)</f>
        <v>0</v>
      </c>
      <c r="H707" s="146">
        <f t="shared" si="11"/>
        <v>0</v>
      </c>
    </row>
    <row r="708" spans="2:8" hidden="1" x14ac:dyDescent="0.25">
      <c r="B708" s="90">
        <f>Gradesheet!A736</f>
        <v>40</v>
      </c>
      <c r="C708" s="91">
        <f>(Gradesheet!B736)</f>
        <v>0</v>
      </c>
      <c r="D708" s="92">
        <f>IF(Outline!$C$14&gt;0,Gradesheet!AD736,Gradesheet!AK736)</f>
        <v>0</v>
      </c>
      <c r="E708" s="145">
        <f>IF(Outline!$C$14&gt;0,Gradesheet!L736,Gradesheet!AR736)</f>
        <v>0</v>
      </c>
      <c r="F708" s="145">
        <f>IF(Outline!$C$14&gt;0,Gradesheet!AZ736,"NA")</f>
        <v>0</v>
      </c>
      <c r="G708" s="145">
        <f>IF(Outline!$C$14&gt;0,Gradesheet!U706,Gradesheet!AY706)</f>
        <v>0</v>
      </c>
      <c r="H708" s="146">
        <f t="shared" si="11"/>
        <v>0</v>
      </c>
    </row>
    <row r="709" spans="2:8" hidden="1" x14ac:dyDescent="0.25">
      <c r="B709" s="90">
        <f>Gradesheet!A737</f>
        <v>41</v>
      </c>
      <c r="C709" s="91">
        <f>(Gradesheet!B737)</f>
        <v>0</v>
      </c>
      <c r="D709" s="92">
        <f>IF(Outline!$C$14&gt;0,Gradesheet!AD737,Gradesheet!AK737)</f>
        <v>0</v>
      </c>
      <c r="E709" s="145">
        <f>IF(Outline!$C$14&gt;0,Gradesheet!L737,Gradesheet!AR737)</f>
        <v>0</v>
      </c>
      <c r="F709" s="145">
        <f>IF(Outline!$C$14&gt;0,Gradesheet!AZ737,"NA")</f>
        <v>0</v>
      </c>
      <c r="G709" s="145">
        <f>IF(Outline!$C$14&gt;0,Gradesheet!U707,Gradesheet!AY707)</f>
        <v>0</v>
      </c>
      <c r="H709" s="146">
        <f t="shared" si="11"/>
        <v>0</v>
      </c>
    </row>
    <row r="710" spans="2:8" hidden="1" x14ac:dyDescent="0.25">
      <c r="B710" s="90">
        <f>Gradesheet!A738</f>
        <v>42</v>
      </c>
      <c r="C710" s="91">
        <f>(Gradesheet!B738)</f>
        <v>0</v>
      </c>
      <c r="D710" s="92">
        <f>IF(Outline!$C$14&gt;0,Gradesheet!AD738,Gradesheet!AK738)</f>
        <v>0</v>
      </c>
      <c r="E710" s="145">
        <f>IF(Outline!$C$14&gt;0,Gradesheet!L738,Gradesheet!AR738)</f>
        <v>0</v>
      </c>
      <c r="F710" s="145">
        <f>IF(Outline!$C$14&gt;0,Gradesheet!AZ738,"NA")</f>
        <v>0</v>
      </c>
      <c r="G710" s="145">
        <f>IF(Outline!$C$14&gt;0,Gradesheet!U708,Gradesheet!AY708)</f>
        <v>0</v>
      </c>
      <c r="H710" s="146">
        <f t="shared" si="11"/>
        <v>0</v>
      </c>
    </row>
    <row r="711" spans="2:8" hidden="1" x14ac:dyDescent="0.25">
      <c r="B711" s="90">
        <f>Gradesheet!A739</f>
        <v>0</v>
      </c>
      <c r="C711" s="91">
        <f>(Gradesheet!B739)</f>
        <v>0</v>
      </c>
      <c r="D711" s="92">
        <f>IF(Outline!$C$14&gt;0,Gradesheet!AD739,Gradesheet!AK739)</f>
        <v>0</v>
      </c>
      <c r="E711" s="145">
        <f>IF(Outline!$C$14&gt;0,Gradesheet!L739,Gradesheet!AR739)</f>
        <v>0</v>
      </c>
      <c r="F711" s="145">
        <f>IF(Outline!$C$14&gt;0,Gradesheet!AZ739,"NA")</f>
        <v>0</v>
      </c>
      <c r="G711" s="145">
        <f>IF(Outline!$C$14&gt;0,Gradesheet!U709,Gradesheet!AY709)</f>
        <v>0</v>
      </c>
      <c r="H711" s="146">
        <f t="shared" ref="H711:H774" si="12">SUM(D711:G711)</f>
        <v>0</v>
      </c>
    </row>
    <row r="712" spans="2:8" hidden="1" x14ac:dyDescent="0.25">
      <c r="B712" s="90">
        <f>Gradesheet!A740</f>
        <v>1</v>
      </c>
      <c r="C712" s="91">
        <f>(Gradesheet!B740)</f>
        <v>0</v>
      </c>
      <c r="D712" s="92">
        <f>IF(Outline!$C$14&gt;0,Gradesheet!AD740,Gradesheet!AK740)</f>
        <v>0</v>
      </c>
      <c r="E712" s="145">
        <f>IF(Outline!$C$14&gt;0,Gradesheet!L740,Gradesheet!AR740)</f>
        <v>0</v>
      </c>
      <c r="F712" s="145">
        <f>IF(Outline!$C$14&gt;0,Gradesheet!AZ740,"NA")</f>
        <v>0</v>
      </c>
      <c r="G712" s="145">
        <f>IF(Outline!$C$14&gt;0,Gradesheet!U710,Gradesheet!AY710)</f>
        <v>0</v>
      </c>
      <c r="H712" s="146">
        <f t="shared" si="12"/>
        <v>0</v>
      </c>
    </row>
    <row r="713" spans="2:8" hidden="1" x14ac:dyDescent="0.25">
      <c r="B713" s="90">
        <f>Gradesheet!A741</f>
        <v>2</v>
      </c>
      <c r="C713" s="91">
        <f>(Gradesheet!B741)</f>
        <v>0</v>
      </c>
      <c r="D713" s="92">
        <f>IF(Outline!$C$14&gt;0,Gradesheet!AD741,Gradesheet!AK741)</f>
        <v>0</v>
      </c>
      <c r="E713" s="145">
        <f>IF(Outline!$C$14&gt;0,Gradesheet!L741,Gradesheet!AR741)</f>
        <v>0</v>
      </c>
      <c r="F713" s="145">
        <f>IF(Outline!$C$14&gt;0,Gradesheet!AZ741,"NA")</f>
        <v>0</v>
      </c>
      <c r="G713" s="145">
        <f>IF(Outline!$C$14&gt;0,Gradesheet!U711,Gradesheet!AY711)</f>
        <v>0</v>
      </c>
      <c r="H713" s="146">
        <f t="shared" si="12"/>
        <v>0</v>
      </c>
    </row>
    <row r="714" spans="2:8" hidden="1" x14ac:dyDescent="0.25">
      <c r="B714" s="90">
        <f>Gradesheet!A742</f>
        <v>3</v>
      </c>
      <c r="C714" s="91">
        <f>(Gradesheet!B742)</f>
        <v>0</v>
      </c>
      <c r="D714" s="92">
        <f>IF(Outline!$C$14&gt;0,Gradesheet!AD742,Gradesheet!AK742)</f>
        <v>0</v>
      </c>
      <c r="E714" s="145">
        <f>IF(Outline!$C$14&gt;0,Gradesheet!L742,Gradesheet!AR742)</f>
        <v>0</v>
      </c>
      <c r="F714" s="145">
        <f>IF(Outline!$C$14&gt;0,Gradesheet!AZ742,"NA")</f>
        <v>0</v>
      </c>
      <c r="G714" s="145">
        <f>IF(Outline!$C$14&gt;0,Gradesheet!U712,Gradesheet!AY712)</f>
        <v>0</v>
      </c>
      <c r="H714" s="146">
        <f t="shared" si="12"/>
        <v>0</v>
      </c>
    </row>
    <row r="715" spans="2:8" hidden="1" x14ac:dyDescent="0.25">
      <c r="B715" s="90">
        <f>Gradesheet!A743</f>
        <v>4</v>
      </c>
      <c r="C715" s="91">
        <f>(Gradesheet!B743)</f>
        <v>0</v>
      </c>
      <c r="D715" s="92">
        <f>IF(Outline!$C$14&gt;0,Gradesheet!AD743,Gradesheet!AK743)</f>
        <v>0</v>
      </c>
      <c r="E715" s="145">
        <f>IF(Outline!$C$14&gt;0,Gradesheet!L743,Gradesheet!AR743)</f>
        <v>0</v>
      </c>
      <c r="F715" s="145">
        <f>IF(Outline!$C$14&gt;0,Gradesheet!AZ743,"NA")</f>
        <v>0</v>
      </c>
      <c r="G715" s="145">
        <f>IF(Outline!$C$14&gt;0,Gradesheet!U713,Gradesheet!AY713)</f>
        <v>0</v>
      </c>
      <c r="H715" s="146">
        <f t="shared" si="12"/>
        <v>0</v>
      </c>
    </row>
    <row r="716" spans="2:8" hidden="1" x14ac:dyDescent="0.25">
      <c r="B716" s="90">
        <f>Gradesheet!A744</f>
        <v>5</v>
      </c>
      <c r="C716" s="91">
        <f>(Gradesheet!B744)</f>
        <v>0</v>
      </c>
      <c r="D716" s="92">
        <f>IF(Outline!$C$14&gt;0,Gradesheet!AD744,Gradesheet!AK744)</f>
        <v>0</v>
      </c>
      <c r="E716" s="145">
        <f>IF(Outline!$C$14&gt;0,Gradesheet!L744,Gradesheet!AR744)</f>
        <v>0</v>
      </c>
      <c r="F716" s="145">
        <f>IF(Outline!$C$14&gt;0,Gradesheet!AZ744,"NA")</f>
        <v>0</v>
      </c>
      <c r="G716" s="145">
        <f>IF(Outline!$C$14&gt;0,Gradesheet!U714,Gradesheet!AY714)</f>
        <v>0</v>
      </c>
      <c r="H716" s="146">
        <f t="shared" si="12"/>
        <v>0</v>
      </c>
    </row>
    <row r="717" spans="2:8" hidden="1" x14ac:dyDescent="0.25">
      <c r="B717" s="90">
        <f>Gradesheet!A745</f>
        <v>6</v>
      </c>
      <c r="C717" s="91">
        <f>(Gradesheet!B745)</f>
        <v>0</v>
      </c>
      <c r="D717" s="92">
        <f>IF(Outline!$C$14&gt;0,Gradesheet!AD745,Gradesheet!AK745)</f>
        <v>0</v>
      </c>
      <c r="E717" s="145">
        <f>IF(Outline!$C$14&gt;0,Gradesheet!L745,Gradesheet!AR745)</f>
        <v>0</v>
      </c>
      <c r="F717" s="145">
        <f>IF(Outline!$C$14&gt;0,Gradesheet!AZ745,"NA")</f>
        <v>0</v>
      </c>
      <c r="G717" s="145">
        <f>IF(Outline!$C$14&gt;0,Gradesheet!U715,Gradesheet!AY715)</f>
        <v>0</v>
      </c>
      <c r="H717" s="146">
        <f t="shared" si="12"/>
        <v>0</v>
      </c>
    </row>
    <row r="718" spans="2:8" hidden="1" x14ac:dyDescent="0.25">
      <c r="B718" s="90">
        <f>Gradesheet!A746</f>
        <v>7</v>
      </c>
      <c r="C718" s="91">
        <f>(Gradesheet!B746)</f>
        <v>0</v>
      </c>
      <c r="D718" s="92">
        <f>IF(Outline!$C$14&gt;0,Gradesheet!AD746,Gradesheet!AK746)</f>
        <v>0</v>
      </c>
      <c r="E718" s="145">
        <f>IF(Outline!$C$14&gt;0,Gradesheet!L746,Gradesheet!AR746)</f>
        <v>0</v>
      </c>
      <c r="F718" s="145">
        <f>IF(Outline!$C$14&gt;0,Gradesheet!AZ746,"NA")</f>
        <v>0</v>
      </c>
      <c r="G718" s="145">
        <f>IF(Outline!$C$14&gt;0,Gradesheet!U716,Gradesheet!AY716)</f>
        <v>0</v>
      </c>
      <c r="H718" s="146">
        <f t="shared" si="12"/>
        <v>0</v>
      </c>
    </row>
    <row r="719" spans="2:8" hidden="1" x14ac:dyDescent="0.25">
      <c r="B719" s="90">
        <f>Gradesheet!A747</f>
        <v>8</v>
      </c>
      <c r="C719" s="91">
        <f>(Gradesheet!B747)</f>
        <v>0</v>
      </c>
      <c r="D719" s="92">
        <f>IF(Outline!$C$14&gt;0,Gradesheet!AD747,Gradesheet!AK747)</f>
        <v>0</v>
      </c>
      <c r="E719" s="145">
        <f>IF(Outline!$C$14&gt;0,Gradesheet!L747,Gradesheet!AR747)</f>
        <v>0</v>
      </c>
      <c r="F719" s="145">
        <f>IF(Outline!$C$14&gt;0,Gradesheet!AZ747,"NA")</f>
        <v>0</v>
      </c>
      <c r="G719" s="145">
        <f>IF(Outline!$C$14&gt;0,Gradesheet!U717,Gradesheet!AY717)</f>
        <v>0</v>
      </c>
      <c r="H719" s="146">
        <f t="shared" si="12"/>
        <v>0</v>
      </c>
    </row>
    <row r="720" spans="2:8" hidden="1" x14ac:dyDescent="0.25">
      <c r="B720" s="90">
        <f>Gradesheet!A748</f>
        <v>9</v>
      </c>
      <c r="C720" s="91">
        <f>(Gradesheet!B748)</f>
        <v>0</v>
      </c>
      <c r="D720" s="92">
        <f>IF(Outline!$C$14&gt;0,Gradesheet!AD748,Gradesheet!AK748)</f>
        <v>0</v>
      </c>
      <c r="E720" s="145">
        <f>IF(Outline!$C$14&gt;0,Gradesheet!L748,Gradesheet!AR748)</f>
        <v>0</v>
      </c>
      <c r="F720" s="145">
        <f>IF(Outline!$C$14&gt;0,Gradesheet!AZ748,"NA")</f>
        <v>0</v>
      </c>
      <c r="G720" s="145">
        <f>IF(Outline!$C$14&gt;0,Gradesheet!U718,Gradesheet!AY718)</f>
        <v>0</v>
      </c>
      <c r="H720" s="146">
        <f t="shared" si="12"/>
        <v>0</v>
      </c>
    </row>
    <row r="721" spans="2:8" hidden="1" x14ac:dyDescent="0.25">
      <c r="B721" s="90">
        <f>Gradesheet!A749</f>
        <v>10</v>
      </c>
      <c r="C721" s="91">
        <f>(Gradesheet!B749)</f>
        <v>0</v>
      </c>
      <c r="D721" s="92">
        <f>IF(Outline!$C$14&gt;0,Gradesheet!AD749,Gradesheet!AK749)</f>
        <v>0</v>
      </c>
      <c r="E721" s="145">
        <f>IF(Outline!$C$14&gt;0,Gradesheet!L749,Gradesheet!AR749)</f>
        <v>0</v>
      </c>
      <c r="F721" s="145">
        <f>IF(Outline!$C$14&gt;0,Gradesheet!AZ749,"NA")</f>
        <v>0</v>
      </c>
      <c r="G721" s="145">
        <f>IF(Outline!$C$14&gt;0,Gradesheet!U719,Gradesheet!AY719)</f>
        <v>0</v>
      </c>
      <c r="H721" s="146">
        <f t="shared" si="12"/>
        <v>0</v>
      </c>
    </row>
    <row r="722" spans="2:8" hidden="1" x14ac:dyDescent="0.25">
      <c r="B722" s="90">
        <f>Gradesheet!A750</f>
        <v>11</v>
      </c>
      <c r="C722" s="91">
        <f>(Gradesheet!B750)</f>
        <v>0</v>
      </c>
      <c r="D722" s="92">
        <f>IF(Outline!$C$14&gt;0,Gradesheet!AD750,Gradesheet!AK750)</f>
        <v>0</v>
      </c>
      <c r="E722" s="145">
        <f>IF(Outline!$C$14&gt;0,Gradesheet!L750,Gradesheet!AR750)</f>
        <v>0</v>
      </c>
      <c r="F722" s="145">
        <f>IF(Outline!$C$14&gt;0,Gradesheet!AZ750,"NA")</f>
        <v>0</v>
      </c>
      <c r="G722" s="145">
        <f>IF(Outline!$C$14&gt;0,Gradesheet!U720,Gradesheet!AY720)</f>
        <v>0</v>
      </c>
      <c r="H722" s="146">
        <f t="shared" si="12"/>
        <v>0</v>
      </c>
    </row>
    <row r="723" spans="2:8" hidden="1" x14ac:dyDescent="0.25">
      <c r="B723" s="90">
        <f>Gradesheet!A751</f>
        <v>12</v>
      </c>
      <c r="C723" s="91">
        <f>(Gradesheet!B751)</f>
        <v>0</v>
      </c>
      <c r="D723" s="92">
        <f>IF(Outline!$C$14&gt;0,Gradesheet!AD751,Gradesheet!AK751)</f>
        <v>0</v>
      </c>
      <c r="E723" s="145">
        <f>IF(Outline!$C$14&gt;0,Gradesheet!L751,Gradesheet!AR751)</f>
        <v>0</v>
      </c>
      <c r="F723" s="145">
        <f>IF(Outline!$C$14&gt;0,Gradesheet!AZ751,"NA")</f>
        <v>0</v>
      </c>
      <c r="G723" s="145">
        <f>IF(Outline!$C$14&gt;0,Gradesheet!U721,Gradesheet!AY721)</f>
        <v>0</v>
      </c>
      <c r="H723" s="146">
        <f t="shared" si="12"/>
        <v>0</v>
      </c>
    </row>
    <row r="724" spans="2:8" hidden="1" x14ac:dyDescent="0.25">
      <c r="B724" s="90">
        <f>Gradesheet!A752</f>
        <v>13</v>
      </c>
      <c r="C724" s="91">
        <f>(Gradesheet!B752)</f>
        <v>0</v>
      </c>
      <c r="D724" s="92">
        <f>IF(Outline!$C$14&gt;0,Gradesheet!AD752,Gradesheet!AK752)</f>
        <v>0</v>
      </c>
      <c r="E724" s="145">
        <f>IF(Outline!$C$14&gt;0,Gradesheet!L752,Gradesheet!AR752)</f>
        <v>0</v>
      </c>
      <c r="F724" s="145">
        <f>IF(Outline!$C$14&gt;0,Gradesheet!AZ752,"NA")</f>
        <v>0</v>
      </c>
      <c r="G724" s="145">
        <f>IF(Outline!$C$14&gt;0,Gradesheet!U722,Gradesheet!AY722)</f>
        <v>0</v>
      </c>
      <c r="H724" s="146">
        <f t="shared" si="12"/>
        <v>0</v>
      </c>
    </row>
    <row r="725" spans="2:8" hidden="1" x14ac:dyDescent="0.25">
      <c r="B725" s="90">
        <f>Gradesheet!A753</f>
        <v>14</v>
      </c>
      <c r="C725" s="91">
        <f>(Gradesheet!B753)</f>
        <v>0</v>
      </c>
      <c r="D725" s="92">
        <f>IF(Outline!$C$14&gt;0,Gradesheet!AD753,Gradesheet!AK753)</f>
        <v>0</v>
      </c>
      <c r="E725" s="145">
        <f>IF(Outline!$C$14&gt;0,Gradesheet!L753,Gradesheet!AR753)</f>
        <v>0</v>
      </c>
      <c r="F725" s="145">
        <f>IF(Outline!$C$14&gt;0,Gradesheet!AZ753,"NA")</f>
        <v>0</v>
      </c>
      <c r="G725" s="145">
        <f>IF(Outline!$C$14&gt;0,Gradesheet!U723,Gradesheet!AY723)</f>
        <v>0</v>
      </c>
      <c r="H725" s="146">
        <f t="shared" si="12"/>
        <v>0</v>
      </c>
    </row>
    <row r="726" spans="2:8" hidden="1" x14ac:dyDescent="0.25">
      <c r="B726" s="90">
        <f>Gradesheet!A754</f>
        <v>15</v>
      </c>
      <c r="C726" s="91">
        <f>(Gradesheet!B754)</f>
        <v>0</v>
      </c>
      <c r="D726" s="92">
        <f>IF(Outline!$C$14&gt;0,Gradesheet!AD754,Gradesheet!AK754)</f>
        <v>0</v>
      </c>
      <c r="E726" s="145">
        <f>IF(Outline!$C$14&gt;0,Gradesheet!L754,Gradesheet!AR754)</f>
        <v>0</v>
      </c>
      <c r="F726" s="145">
        <f>IF(Outline!$C$14&gt;0,Gradesheet!AZ754,"NA")</f>
        <v>0</v>
      </c>
      <c r="G726" s="145">
        <f>IF(Outline!$C$14&gt;0,Gradesheet!U724,Gradesheet!AY724)</f>
        <v>0</v>
      </c>
      <c r="H726" s="146">
        <f t="shared" si="12"/>
        <v>0</v>
      </c>
    </row>
    <row r="727" spans="2:8" hidden="1" x14ac:dyDescent="0.25">
      <c r="B727" s="90">
        <f>Gradesheet!A755</f>
        <v>16</v>
      </c>
      <c r="C727" s="91">
        <f>(Gradesheet!B755)</f>
        <v>0</v>
      </c>
      <c r="D727" s="92">
        <f>IF(Outline!$C$14&gt;0,Gradesheet!AD755,Gradesheet!AK755)</f>
        <v>0</v>
      </c>
      <c r="E727" s="145">
        <f>IF(Outline!$C$14&gt;0,Gradesheet!L755,Gradesheet!AR755)</f>
        <v>0</v>
      </c>
      <c r="F727" s="145">
        <f>IF(Outline!$C$14&gt;0,Gradesheet!AZ755,"NA")</f>
        <v>0</v>
      </c>
      <c r="G727" s="145">
        <f>IF(Outline!$C$14&gt;0,Gradesheet!U725,Gradesheet!AY725)</f>
        <v>0</v>
      </c>
      <c r="H727" s="146">
        <f t="shared" si="12"/>
        <v>0</v>
      </c>
    </row>
    <row r="728" spans="2:8" hidden="1" x14ac:dyDescent="0.25">
      <c r="B728" s="90">
        <f>Gradesheet!A756</f>
        <v>17</v>
      </c>
      <c r="C728" s="91">
        <f>(Gradesheet!B756)</f>
        <v>0</v>
      </c>
      <c r="D728" s="92">
        <f>IF(Outline!$C$14&gt;0,Gradesheet!AD756,Gradesheet!AK756)</f>
        <v>0</v>
      </c>
      <c r="E728" s="145">
        <f>IF(Outline!$C$14&gt;0,Gradesheet!L756,Gradesheet!AR756)</f>
        <v>0</v>
      </c>
      <c r="F728" s="145">
        <f>IF(Outline!$C$14&gt;0,Gradesheet!AZ756,"NA")</f>
        <v>0</v>
      </c>
      <c r="G728" s="145">
        <f>IF(Outline!$C$14&gt;0,Gradesheet!U726,Gradesheet!AY726)</f>
        <v>0</v>
      </c>
      <c r="H728" s="146">
        <f t="shared" si="12"/>
        <v>0</v>
      </c>
    </row>
    <row r="729" spans="2:8" hidden="1" x14ac:dyDescent="0.25">
      <c r="B729" s="90">
        <f>Gradesheet!A757</f>
        <v>18</v>
      </c>
      <c r="C729" s="91">
        <f>(Gradesheet!B757)</f>
        <v>0</v>
      </c>
      <c r="D729" s="92">
        <f>IF(Outline!$C$14&gt;0,Gradesheet!AD757,Gradesheet!AK757)</f>
        <v>0</v>
      </c>
      <c r="E729" s="145">
        <f>IF(Outline!$C$14&gt;0,Gradesheet!L757,Gradesheet!AR757)</f>
        <v>0</v>
      </c>
      <c r="F729" s="145">
        <f>IF(Outline!$C$14&gt;0,Gradesheet!AZ757,"NA")</f>
        <v>0</v>
      </c>
      <c r="G729" s="145">
        <f>IF(Outline!$C$14&gt;0,Gradesheet!U727,Gradesheet!AY727)</f>
        <v>0</v>
      </c>
      <c r="H729" s="146">
        <f t="shared" si="12"/>
        <v>0</v>
      </c>
    </row>
    <row r="730" spans="2:8" hidden="1" x14ac:dyDescent="0.25">
      <c r="B730" s="90">
        <f>Gradesheet!A758</f>
        <v>19</v>
      </c>
      <c r="C730" s="91">
        <f>(Gradesheet!B758)</f>
        <v>0</v>
      </c>
      <c r="D730" s="92">
        <f>IF(Outline!$C$14&gt;0,Gradesheet!AD758,Gradesheet!AK758)</f>
        <v>0</v>
      </c>
      <c r="E730" s="145">
        <f>IF(Outline!$C$14&gt;0,Gradesheet!L758,Gradesheet!AR758)</f>
        <v>0</v>
      </c>
      <c r="F730" s="145">
        <f>IF(Outline!$C$14&gt;0,Gradesheet!AZ758,"NA")</f>
        <v>0</v>
      </c>
      <c r="G730" s="145">
        <f>IF(Outline!$C$14&gt;0,Gradesheet!U728,Gradesheet!AY728)</f>
        <v>0</v>
      </c>
      <c r="H730" s="146">
        <f t="shared" si="12"/>
        <v>0</v>
      </c>
    </row>
    <row r="731" spans="2:8" hidden="1" x14ac:dyDescent="0.25">
      <c r="B731" s="90">
        <f>Gradesheet!A759</f>
        <v>20</v>
      </c>
      <c r="C731" s="91">
        <f>(Gradesheet!B759)</f>
        <v>0</v>
      </c>
      <c r="D731" s="92">
        <f>IF(Outline!$C$14&gt;0,Gradesheet!AD759,Gradesheet!AK759)</f>
        <v>0</v>
      </c>
      <c r="E731" s="145">
        <f>IF(Outline!$C$14&gt;0,Gradesheet!L759,Gradesheet!AR759)</f>
        <v>0</v>
      </c>
      <c r="F731" s="145">
        <f>IF(Outline!$C$14&gt;0,Gradesheet!AZ759,"NA")</f>
        <v>0</v>
      </c>
      <c r="G731" s="145">
        <f>IF(Outline!$C$14&gt;0,Gradesheet!U729,Gradesheet!AY729)</f>
        <v>0</v>
      </c>
      <c r="H731" s="146">
        <f t="shared" si="12"/>
        <v>0</v>
      </c>
    </row>
    <row r="732" spans="2:8" hidden="1" x14ac:dyDescent="0.25">
      <c r="B732" s="90">
        <f>Gradesheet!A760</f>
        <v>21</v>
      </c>
      <c r="C732" s="91">
        <f>(Gradesheet!B760)</f>
        <v>0</v>
      </c>
      <c r="D732" s="92">
        <f>IF(Outline!$C$14&gt;0,Gradesheet!AD760,Gradesheet!AK760)</f>
        <v>0</v>
      </c>
      <c r="E732" s="145">
        <f>IF(Outline!$C$14&gt;0,Gradesheet!L760,Gradesheet!AR760)</f>
        <v>0</v>
      </c>
      <c r="F732" s="145">
        <f>IF(Outline!$C$14&gt;0,Gradesheet!AZ760,"NA")</f>
        <v>0</v>
      </c>
      <c r="G732" s="145">
        <f>IF(Outline!$C$14&gt;0,Gradesheet!U730,Gradesheet!AY730)</f>
        <v>0</v>
      </c>
      <c r="H732" s="146">
        <f t="shared" si="12"/>
        <v>0</v>
      </c>
    </row>
    <row r="733" spans="2:8" hidden="1" x14ac:dyDescent="0.25">
      <c r="B733" s="90">
        <f>Gradesheet!A761</f>
        <v>22</v>
      </c>
      <c r="C733" s="91">
        <f>(Gradesheet!B761)</f>
        <v>0</v>
      </c>
      <c r="D733" s="92">
        <f>IF(Outline!$C$14&gt;0,Gradesheet!AD761,Gradesheet!AK761)</f>
        <v>0</v>
      </c>
      <c r="E733" s="145">
        <f>IF(Outline!$C$14&gt;0,Gradesheet!L761,Gradesheet!AR761)</f>
        <v>0</v>
      </c>
      <c r="F733" s="145">
        <f>IF(Outline!$C$14&gt;0,Gradesheet!AZ761,"NA")</f>
        <v>0</v>
      </c>
      <c r="G733" s="145">
        <f>IF(Outline!$C$14&gt;0,Gradesheet!U731,Gradesheet!AY731)</f>
        <v>0</v>
      </c>
      <c r="H733" s="146">
        <f t="shared" si="12"/>
        <v>0</v>
      </c>
    </row>
    <row r="734" spans="2:8" hidden="1" x14ac:dyDescent="0.25">
      <c r="B734" s="90">
        <f>Gradesheet!A762</f>
        <v>23</v>
      </c>
      <c r="C734" s="91">
        <f>(Gradesheet!B762)</f>
        <v>0</v>
      </c>
      <c r="D734" s="92">
        <f>IF(Outline!$C$14&gt;0,Gradesheet!AD762,Gradesheet!AK762)</f>
        <v>0</v>
      </c>
      <c r="E734" s="145">
        <f>IF(Outline!$C$14&gt;0,Gradesheet!L762,Gradesheet!AR762)</f>
        <v>0</v>
      </c>
      <c r="F734" s="145">
        <f>IF(Outline!$C$14&gt;0,Gradesheet!AZ762,"NA")</f>
        <v>0</v>
      </c>
      <c r="G734" s="145">
        <f>IF(Outline!$C$14&gt;0,Gradesheet!U732,Gradesheet!AY732)</f>
        <v>0</v>
      </c>
      <c r="H734" s="146">
        <f t="shared" si="12"/>
        <v>0</v>
      </c>
    </row>
    <row r="735" spans="2:8" hidden="1" x14ac:dyDescent="0.25">
      <c r="B735" s="90">
        <f>Gradesheet!A763</f>
        <v>24</v>
      </c>
      <c r="C735" s="91">
        <f>(Gradesheet!B763)</f>
        <v>0</v>
      </c>
      <c r="D735" s="92">
        <f>IF(Outline!$C$14&gt;0,Gradesheet!AD763,Gradesheet!AK763)</f>
        <v>0</v>
      </c>
      <c r="E735" s="145">
        <f>IF(Outline!$C$14&gt;0,Gradesheet!L763,Gradesheet!AR763)</f>
        <v>0</v>
      </c>
      <c r="F735" s="145">
        <f>IF(Outline!$C$14&gt;0,Gradesheet!AZ763,"NA")</f>
        <v>0</v>
      </c>
      <c r="G735" s="145">
        <f>IF(Outline!$C$14&gt;0,Gradesheet!U733,Gradesheet!AY733)</f>
        <v>0</v>
      </c>
      <c r="H735" s="146">
        <f t="shared" si="12"/>
        <v>0</v>
      </c>
    </row>
    <row r="736" spans="2:8" hidden="1" x14ac:dyDescent="0.25">
      <c r="B736" s="90">
        <f>Gradesheet!A764</f>
        <v>25</v>
      </c>
      <c r="C736" s="91">
        <f>(Gradesheet!B764)</f>
        <v>0</v>
      </c>
      <c r="D736" s="92">
        <f>IF(Outline!$C$14&gt;0,Gradesheet!AD764,Gradesheet!AK764)</f>
        <v>0</v>
      </c>
      <c r="E736" s="145">
        <f>IF(Outline!$C$14&gt;0,Gradesheet!L764,Gradesheet!AR764)</f>
        <v>0</v>
      </c>
      <c r="F736" s="145">
        <f>IF(Outline!$C$14&gt;0,Gradesheet!AZ764,"NA")</f>
        <v>0</v>
      </c>
      <c r="G736" s="145">
        <f>IF(Outline!$C$14&gt;0,Gradesheet!U734,Gradesheet!AY734)</f>
        <v>0</v>
      </c>
      <c r="H736" s="146">
        <f t="shared" si="12"/>
        <v>0</v>
      </c>
    </row>
    <row r="737" spans="2:8" hidden="1" x14ac:dyDescent="0.25">
      <c r="B737" s="90">
        <f>Gradesheet!A765</f>
        <v>26</v>
      </c>
      <c r="C737" s="91">
        <f>(Gradesheet!B765)</f>
        <v>0</v>
      </c>
      <c r="D737" s="92">
        <f>IF(Outline!$C$14&gt;0,Gradesheet!AD765,Gradesheet!AK765)</f>
        <v>0</v>
      </c>
      <c r="E737" s="145">
        <f>IF(Outline!$C$14&gt;0,Gradesheet!L765,Gradesheet!AR765)</f>
        <v>0</v>
      </c>
      <c r="F737" s="145">
        <f>IF(Outline!$C$14&gt;0,Gradesheet!AZ765,"NA")</f>
        <v>0</v>
      </c>
      <c r="G737" s="145">
        <f>IF(Outline!$C$14&gt;0,Gradesheet!U735,Gradesheet!AY735)</f>
        <v>0</v>
      </c>
      <c r="H737" s="146">
        <f t="shared" si="12"/>
        <v>0</v>
      </c>
    </row>
    <row r="738" spans="2:8" hidden="1" x14ac:dyDescent="0.25">
      <c r="B738" s="90">
        <f>Gradesheet!A766</f>
        <v>27</v>
      </c>
      <c r="C738" s="91">
        <f>(Gradesheet!B766)</f>
        <v>0</v>
      </c>
      <c r="D738" s="92">
        <f>IF(Outline!$C$14&gt;0,Gradesheet!AD766,Gradesheet!AK766)</f>
        <v>0</v>
      </c>
      <c r="E738" s="145">
        <f>IF(Outline!$C$14&gt;0,Gradesheet!L766,Gradesheet!AR766)</f>
        <v>0</v>
      </c>
      <c r="F738" s="145">
        <f>IF(Outline!$C$14&gt;0,Gradesheet!AZ766,"NA")</f>
        <v>0</v>
      </c>
      <c r="G738" s="145">
        <f>IF(Outline!$C$14&gt;0,Gradesheet!U736,Gradesheet!AY736)</f>
        <v>0</v>
      </c>
      <c r="H738" s="146">
        <f t="shared" si="12"/>
        <v>0</v>
      </c>
    </row>
    <row r="739" spans="2:8" hidden="1" x14ac:dyDescent="0.25">
      <c r="B739" s="90">
        <f>Gradesheet!A767</f>
        <v>28</v>
      </c>
      <c r="C739" s="91">
        <f>(Gradesheet!B767)</f>
        <v>0</v>
      </c>
      <c r="D739" s="92">
        <f>IF(Outline!$C$14&gt;0,Gradesheet!AD767,Gradesheet!AK767)</f>
        <v>0</v>
      </c>
      <c r="E739" s="145">
        <f>IF(Outline!$C$14&gt;0,Gradesheet!L767,Gradesheet!AR767)</f>
        <v>0</v>
      </c>
      <c r="F739" s="145">
        <f>IF(Outline!$C$14&gt;0,Gradesheet!AZ767,"NA")</f>
        <v>0</v>
      </c>
      <c r="G739" s="145">
        <f>IF(Outline!$C$14&gt;0,Gradesheet!U737,Gradesheet!AY737)</f>
        <v>0</v>
      </c>
      <c r="H739" s="146">
        <f t="shared" si="12"/>
        <v>0</v>
      </c>
    </row>
    <row r="740" spans="2:8" hidden="1" x14ac:dyDescent="0.25">
      <c r="B740" s="90">
        <f>Gradesheet!A768</f>
        <v>29</v>
      </c>
      <c r="C740" s="91">
        <f>(Gradesheet!B768)</f>
        <v>0</v>
      </c>
      <c r="D740" s="92">
        <f>IF(Outline!$C$14&gt;0,Gradesheet!AD768,Gradesheet!AK768)</f>
        <v>0</v>
      </c>
      <c r="E740" s="145">
        <f>IF(Outline!$C$14&gt;0,Gradesheet!L768,Gradesheet!AR768)</f>
        <v>0</v>
      </c>
      <c r="F740" s="145">
        <f>IF(Outline!$C$14&gt;0,Gradesheet!AZ768,"NA")</f>
        <v>0</v>
      </c>
      <c r="G740" s="145">
        <f>IF(Outline!$C$14&gt;0,Gradesheet!U738,Gradesheet!AY738)</f>
        <v>0</v>
      </c>
      <c r="H740" s="146">
        <f t="shared" si="12"/>
        <v>0</v>
      </c>
    </row>
    <row r="741" spans="2:8" hidden="1" x14ac:dyDescent="0.25">
      <c r="B741" s="90">
        <f>Gradesheet!A769</f>
        <v>30</v>
      </c>
      <c r="C741" s="91">
        <f>(Gradesheet!B769)</f>
        <v>0</v>
      </c>
      <c r="D741" s="92">
        <f>IF(Outline!$C$14&gt;0,Gradesheet!AD769,Gradesheet!AK769)</f>
        <v>0</v>
      </c>
      <c r="E741" s="145">
        <f>IF(Outline!$C$14&gt;0,Gradesheet!L769,Gradesheet!AR769)</f>
        <v>0</v>
      </c>
      <c r="F741" s="145">
        <f>IF(Outline!$C$14&gt;0,Gradesheet!AZ769,"NA")</f>
        <v>0</v>
      </c>
      <c r="G741" s="145">
        <f>IF(Outline!$C$14&gt;0,Gradesheet!U739,Gradesheet!AY739)</f>
        <v>0</v>
      </c>
      <c r="H741" s="146">
        <f t="shared" si="12"/>
        <v>0</v>
      </c>
    </row>
    <row r="742" spans="2:8" hidden="1" x14ac:dyDescent="0.25">
      <c r="B742" s="90">
        <f>Gradesheet!A770</f>
        <v>31</v>
      </c>
      <c r="C742" s="91">
        <f>(Gradesheet!B770)</f>
        <v>0</v>
      </c>
      <c r="D742" s="92">
        <f>IF(Outline!$C$14&gt;0,Gradesheet!AD770,Gradesheet!AK770)</f>
        <v>0</v>
      </c>
      <c r="E742" s="145">
        <f>IF(Outline!$C$14&gt;0,Gradesheet!L770,Gradesheet!AR770)</f>
        <v>0</v>
      </c>
      <c r="F742" s="145">
        <f>IF(Outline!$C$14&gt;0,Gradesheet!AZ770,"NA")</f>
        <v>0</v>
      </c>
      <c r="G742" s="145">
        <f>IF(Outline!$C$14&gt;0,Gradesheet!U740,Gradesheet!AY740)</f>
        <v>0</v>
      </c>
      <c r="H742" s="146">
        <f t="shared" si="12"/>
        <v>0</v>
      </c>
    </row>
    <row r="743" spans="2:8" hidden="1" x14ac:dyDescent="0.25">
      <c r="B743" s="90">
        <f>Gradesheet!A771</f>
        <v>32</v>
      </c>
      <c r="C743" s="91">
        <f>(Gradesheet!B771)</f>
        <v>0</v>
      </c>
      <c r="D743" s="92">
        <f>IF(Outline!$C$14&gt;0,Gradesheet!AD771,Gradesheet!AK771)</f>
        <v>0</v>
      </c>
      <c r="E743" s="145">
        <f>IF(Outline!$C$14&gt;0,Gradesheet!L771,Gradesheet!AR771)</f>
        <v>0</v>
      </c>
      <c r="F743" s="145">
        <f>IF(Outline!$C$14&gt;0,Gradesheet!AZ771,"NA")</f>
        <v>0</v>
      </c>
      <c r="G743" s="145">
        <f>IF(Outline!$C$14&gt;0,Gradesheet!U741,Gradesheet!AY741)</f>
        <v>0</v>
      </c>
      <c r="H743" s="146">
        <f t="shared" si="12"/>
        <v>0</v>
      </c>
    </row>
    <row r="744" spans="2:8" hidden="1" x14ac:dyDescent="0.25">
      <c r="B744" s="90">
        <f>Gradesheet!A772</f>
        <v>33</v>
      </c>
      <c r="C744" s="91">
        <f>(Gradesheet!B772)</f>
        <v>0</v>
      </c>
      <c r="D744" s="92">
        <f>IF(Outline!$C$14&gt;0,Gradesheet!AD772,Gradesheet!AK772)</f>
        <v>0</v>
      </c>
      <c r="E744" s="145">
        <f>IF(Outline!$C$14&gt;0,Gradesheet!L772,Gradesheet!AR772)</f>
        <v>0</v>
      </c>
      <c r="F744" s="145">
        <f>IF(Outline!$C$14&gt;0,Gradesheet!AZ772,"NA")</f>
        <v>0</v>
      </c>
      <c r="G744" s="145">
        <f>IF(Outline!$C$14&gt;0,Gradesheet!U742,Gradesheet!AY742)</f>
        <v>0</v>
      </c>
      <c r="H744" s="146">
        <f t="shared" si="12"/>
        <v>0</v>
      </c>
    </row>
    <row r="745" spans="2:8" hidden="1" x14ac:dyDescent="0.25">
      <c r="B745" s="90">
        <f>Gradesheet!A773</f>
        <v>34</v>
      </c>
      <c r="C745" s="91">
        <f>(Gradesheet!B773)</f>
        <v>0</v>
      </c>
      <c r="D745" s="92">
        <f>IF(Outline!$C$14&gt;0,Gradesheet!AD773,Gradesheet!AK773)</f>
        <v>0</v>
      </c>
      <c r="E745" s="145">
        <f>IF(Outline!$C$14&gt;0,Gradesheet!L773,Gradesheet!AR773)</f>
        <v>0</v>
      </c>
      <c r="F745" s="145">
        <f>IF(Outline!$C$14&gt;0,Gradesheet!AZ773,"NA")</f>
        <v>0</v>
      </c>
      <c r="G745" s="145">
        <f>IF(Outline!$C$14&gt;0,Gradesheet!U743,Gradesheet!AY743)</f>
        <v>0</v>
      </c>
      <c r="H745" s="146">
        <f t="shared" si="12"/>
        <v>0</v>
      </c>
    </row>
    <row r="746" spans="2:8" hidden="1" x14ac:dyDescent="0.25">
      <c r="B746" s="90">
        <f>Gradesheet!A774</f>
        <v>35</v>
      </c>
      <c r="C746" s="91">
        <f>(Gradesheet!B774)</f>
        <v>0</v>
      </c>
      <c r="D746" s="92">
        <f>IF(Outline!$C$14&gt;0,Gradesheet!AD774,Gradesheet!AK774)</f>
        <v>0</v>
      </c>
      <c r="E746" s="145">
        <f>IF(Outline!$C$14&gt;0,Gradesheet!L774,Gradesheet!AR774)</f>
        <v>0</v>
      </c>
      <c r="F746" s="145">
        <f>IF(Outline!$C$14&gt;0,Gradesheet!AZ774,"NA")</f>
        <v>0</v>
      </c>
      <c r="G746" s="145">
        <f>IF(Outline!$C$14&gt;0,Gradesheet!U744,Gradesheet!AY744)</f>
        <v>0</v>
      </c>
      <c r="H746" s="146">
        <f t="shared" si="12"/>
        <v>0</v>
      </c>
    </row>
    <row r="747" spans="2:8" hidden="1" x14ac:dyDescent="0.25">
      <c r="B747" s="90">
        <f>Gradesheet!A775</f>
        <v>36</v>
      </c>
      <c r="C747" s="91">
        <f>(Gradesheet!B775)</f>
        <v>0</v>
      </c>
      <c r="D747" s="92">
        <f>IF(Outline!$C$14&gt;0,Gradesheet!AD775,Gradesheet!AK775)</f>
        <v>0</v>
      </c>
      <c r="E747" s="145">
        <f>IF(Outline!$C$14&gt;0,Gradesheet!L775,Gradesheet!AR775)</f>
        <v>0</v>
      </c>
      <c r="F747" s="145">
        <f>IF(Outline!$C$14&gt;0,Gradesheet!AZ775,"NA")</f>
        <v>0</v>
      </c>
      <c r="G747" s="145">
        <f>IF(Outline!$C$14&gt;0,Gradesheet!U745,Gradesheet!AY745)</f>
        <v>0</v>
      </c>
      <c r="H747" s="146">
        <f t="shared" si="12"/>
        <v>0</v>
      </c>
    </row>
    <row r="748" spans="2:8" hidden="1" x14ac:dyDescent="0.25">
      <c r="B748" s="90">
        <f>Gradesheet!A776</f>
        <v>37</v>
      </c>
      <c r="C748" s="91">
        <f>(Gradesheet!B776)</f>
        <v>0</v>
      </c>
      <c r="D748" s="92">
        <f>IF(Outline!$C$14&gt;0,Gradesheet!AD776,Gradesheet!AK776)</f>
        <v>0</v>
      </c>
      <c r="E748" s="145">
        <f>IF(Outline!$C$14&gt;0,Gradesheet!L776,Gradesheet!AR776)</f>
        <v>0</v>
      </c>
      <c r="F748" s="145">
        <f>IF(Outline!$C$14&gt;0,Gradesheet!AZ776,"NA")</f>
        <v>0</v>
      </c>
      <c r="G748" s="145">
        <f>IF(Outline!$C$14&gt;0,Gradesheet!U746,Gradesheet!AY746)</f>
        <v>0</v>
      </c>
      <c r="H748" s="146">
        <f t="shared" si="12"/>
        <v>0</v>
      </c>
    </row>
    <row r="749" spans="2:8" hidden="1" x14ac:dyDescent="0.25">
      <c r="B749" s="90">
        <f>Gradesheet!A777</f>
        <v>38</v>
      </c>
      <c r="C749" s="91">
        <f>(Gradesheet!B777)</f>
        <v>0</v>
      </c>
      <c r="D749" s="92">
        <f>IF(Outline!$C$14&gt;0,Gradesheet!AD777,Gradesheet!AK777)</f>
        <v>0</v>
      </c>
      <c r="E749" s="145">
        <f>IF(Outline!$C$14&gt;0,Gradesheet!L777,Gradesheet!AR777)</f>
        <v>0</v>
      </c>
      <c r="F749" s="145">
        <f>IF(Outline!$C$14&gt;0,Gradesheet!AZ777,"NA")</f>
        <v>0</v>
      </c>
      <c r="G749" s="145">
        <f>IF(Outline!$C$14&gt;0,Gradesheet!U747,Gradesheet!AY747)</f>
        <v>0</v>
      </c>
      <c r="H749" s="146">
        <f t="shared" si="12"/>
        <v>0</v>
      </c>
    </row>
    <row r="750" spans="2:8" hidden="1" x14ac:dyDescent="0.25">
      <c r="B750" s="90">
        <f>Gradesheet!A778</f>
        <v>39</v>
      </c>
      <c r="C750" s="91">
        <f>(Gradesheet!B778)</f>
        <v>0</v>
      </c>
      <c r="D750" s="92">
        <f>IF(Outline!$C$14&gt;0,Gradesheet!AD778,Gradesheet!AK778)</f>
        <v>0</v>
      </c>
      <c r="E750" s="145">
        <f>IF(Outline!$C$14&gt;0,Gradesheet!L778,Gradesheet!AR778)</f>
        <v>0</v>
      </c>
      <c r="F750" s="145">
        <f>IF(Outline!$C$14&gt;0,Gradesheet!AZ778,"NA")</f>
        <v>0</v>
      </c>
      <c r="G750" s="145">
        <f>IF(Outline!$C$14&gt;0,Gradesheet!U748,Gradesheet!AY748)</f>
        <v>0</v>
      </c>
      <c r="H750" s="146">
        <f t="shared" si="12"/>
        <v>0</v>
      </c>
    </row>
    <row r="751" spans="2:8" hidden="1" x14ac:dyDescent="0.25">
      <c r="B751" s="90">
        <f>Gradesheet!A779</f>
        <v>40</v>
      </c>
      <c r="C751" s="91">
        <f>(Gradesheet!B779)</f>
        <v>0</v>
      </c>
      <c r="D751" s="92">
        <f>IF(Outline!$C$14&gt;0,Gradesheet!AD779,Gradesheet!AK779)</f>
        <v>0</v>
      </c>
      <c r="E751" s="145">
        <f>IF(Outline!$C$14&gt;0,Gradesheet!L779,Gradesheet!AR779)</f>
        <v>0</v>
      </c>
      <c r="F751" s="145">
        <f>IF(Outline!$C$14&gt;0,Gradesheet!AZ779,"NA")</f>
        <v>0</v>
      </c>
      <c r="G751" s="145">
        <f>IF(Outline!$C$14&gt;0,Gradesheet!U749,Gradesheet!AY749)</f>
        <v>0</v>
      </c>
      <c r="H751" s="146">
        <f t="shared" si="12"/>
        <v>0</v>
      </c>
    </row>
    <row r="752" spans="2:8" hidden="1" x14ac:dyDescent="0.25">
      <c r="B752" s="90">
        <f>Gradesheet!A780</f>
        <v>41</v>
      </c>
      <c r="C752" s="91">
        <f>(Gradesheet!B780)</f>
        <v>0</v>
      </c>
      <c r="D752" s="92">
        <f>IF(Outline!$C$14&gt;0,Gradesheet!AD780,Gradesheet!AK780)</f>
        <v>0</v>
      </c>
      <c r="E752" s="145">
        <f>IF(Outline!$C$14&gt;0,Gradesheet!L780,Gradesheet!AR780)</f>
        <v>0</v>
      </c>
      <c r="F752" s="145">
        <f>IF(Outline!$C$14&gt;0,Gradesheet!AZ780,"NA")</f>
        <v>0</v>
      </c>
      <c r="G752" s="145">
        <f>IF(Outline!$C$14&gt;0,Gradesheet!U750,Gradesheet!AY750)</f>
        <v>0</v>
      </c>
      <c r="H752" s="146">
        <f t="shared" si="12"/>
        <v>0</v>
      </c>
    </row>
    <row r="753" spans="2:8" hidden="1" x14ac:dyDescent="0.25">
      <c r="B753" s="90">
        <f>Gradesheet!A781</f>
        <v>42</v>
      </c>
      <c r="C753" s="91">
        <f>(Gradesheet!B781)</f>
        <v>0</v>
      </c>
      <c r="D753" s="92">
        <f>IF(Outline!$C$14&gt;0,Gradesheet!AD781,Gradesheet!AK781)</f>
        <v>0</v>
      </c>
      <c r="E753" s="145">
        <f>IF(Outline!$C$14&gt;0,Gradesheet!L781,Gradesheet!AR781)</f>
        <v>0</v>
      </c>
      <c r="F753" s="145">
        <f>IF(Outline!$C$14&gt;0,Gradesheet!AZ781,"NA")</f>
        <v>0</v>
      </c>
      <c r="G753" s="145">
        <f>IF(Outline!$C$14&gt;0,Gradesheet!U751,Gradesheet!AY751)</f>
        <v>0</v>
      </c>
      <c r="H753" s="146">
        <f t="shared" si="12"/>
        <v>0</v>
      </c>
    </row>
    <row r="754" spans="2:8" hidden="1" x14ac:dyDescent="0.25">
      <c r="B754" s="90">
        <f>Gradesheet!A782</f>
        <v>0</v>
      </c>
      <c r="C754" s="91">
        <f>(Gradesheet!B782)</f>
        <v>0</v>
      </c>
      <c r="D754" s="92">
        <f>IF(Outline!$C$14&gt;0,Gradesheet!AD782,Gradesheet!AK782)</f>
        <v>0</v>
      </c>
      <c r="E754" s="145">
        <f>IF(Outline!$C$14&gt;0,Gradesheet!L782,Gradesheet!AR782)</f>
        <v>0</v>
      </c>
      <c r="F754" s="145">
        <f>IF(Outline!$C$14&gt;0,Gradesheet!AZ782,"NA")</f>
        <v>0</v>
      </c>
      <c r="G754" s="145">
        <f>IF(Outline!$C$14&gt;0,Gradesheet!U752,Gradesheet!AY752)</f>
        <v>0</v>
      </c>
      <c r="H754" s="146">
        <f t="shared" si="12"/>
        <v>0</v>
      </c>
    </row>
    <row r="755" spans="2:8" hidden="1" x14ac:dyDescent="0.25">
      <c r="B755" s="90">
        <f>Gradesheet!A783</f>
        <v>1</v>
      </c>
      <c r="C755" s="91">
        <f>(Gradesheet!B783)</f>
        <v>0</v>
      </c>
      <c r="D755" s="92">
        <f>IF(Outline!$C$14&gt;0,Gradesheet!AD783,Gradesheet!AK783)</f>
        <v>0</v>
      </c>
      <c r="E755" s="145">
        <f>IF(Outline!$C$14&gt;0,Gradesheet!L783,Gradesheet!AR783)</f>
        <v>0</v>
      </c>
      <c r="F755" s="145">
        <f>IF(Outline!$C$14&gt;0,Gradesheet!AZ783,"NA")</f>
        <v>0</v>
      </c>
      <c r="G755" s="145">
        <f>IF(Outline!$C$14&gt;0,Gradesheet!U753,Gradesheet!AY753)</f>
        <v>0</v>
      </c>
      <c r="H755" s="146">
        <f t="shared" si="12"/>
        <v>0</v>
      </c>
    </row>
    <row r="756" spans="2:8" hidden="1" x14ac:dyDescent="0.25">
      <c r="B756" s="90">
        <f>Gradesheet!A784</f>
        <v>2</v>
      </c>
      <c r="C756" s="91">
        <f>(Gradesheet!B784)</f>
        <v>0</v>
      </c>
      <c r="D756" s="92">
        <f>IF(Outline!$C$14&gt;0,Gradesheet!AD784,Gradesheet!AK784)</f>
        <v>0</v>
      </c>
      <c r="E756" s="145">
        <f>IF(Outline!$C$14&gt;0,Gradesheet!L784,Gradesheet!AR784)</f>
        <v>0</v>
      </c>
      <c r="F756" s="145">
        <f>IF(Outline!$C$14&gt;0,Gradesheet!AZ784,"NA")</f>
        <v>0</v>
      </c>
      <c r="G756" s="145">
        <f>IF(Outline!$C$14&gt;0,Gradesheet!U754,Gradesheet!AY754)</f>
        <v>0</v>
      </c>
      <c r="H756" s="146">
        <f t="shared" si="12"/>
        <v>0</v>
      </c>
    </row>
    <row r="757" spans="2:8" hidden="1" x14ac:dyDescent="0.25">
      <c r="B757" s="90">
        <f>Gradesheet!A785</f>
        <v>3</v>
      </c>
      <c r="C757" s="91">
        <f>(Gradesheet!B785)</f>
        <v>0</v>
      </c>
      <c r="D757" s="92">
        <f>IF(Outline!$C$14&gt;0,Gradesheet!AD785,Gradesheet!AK785)</f>
        <v>0</v>
      </c>
      <c r="E757" s="145">
        <f>IF(Outline!$C$14&gt;0,Gradesheet!L785,Gradesheet!AR785)</f>
        <v>0</v>
      </c>
      <c r="F757" s="145">
        <f>IF(Outline!$C$14&gt;0,Gradesheet!AZ785,"NA")</f>
        <v>0</v>
      </c>
      <c r="G757" s="145">
        <f>IF(Outline!$C$14&gt;0,Gradesheet!U755,Gradesheet!AY755)</f>
        <v>0</v>
      </c>
      <c r="H757" s="146">
        <f t="shared" si="12"/>
        <v>0</v>
      </c>
    </row>
    <row r="758" spans="2:8" hidden="1" x14ac:dyDescent="0.25">
      <c r="B758" s="90">
        <f>Gradesheet!A786</f>
        <v>4</v>
      </c>
      <c r="C758" s="91">
        <f>(Gradesheet!B786)</f>
        <v>0</v>
      </c>
      <c r="D758" s="92">
        <f>IF(Outline!$C$14&gt;0,Gradesheet!AD786,Gradesheet!AK786)</f>
        <v>0</v>
      </c>
      <c r="E758" s="145">
        <f>IF(Outline!$C$14&gt;0,Gradesheet!L786,Gradesheet!AR786)</f>
        <v>0</v>
      </c>
      <c r="F758" s="145">
        <f>IF(Outline!$C$14&gt;0,Gradesheet!AZ786,"NA")</f>
        <v>0</v>
      </c>
      <c r="G758" s="145">
        <f>IF(Outline!$C$14&gt;0,Gradesheet!U756,Gradesheet!AY756)</f>
        <v>0</v>
      </c>
      <c r="H758" s="146">
        <f t="shared" si="12"/>
        <v>0</v>
      </c>
    </row>
    <row r="759" spans="2:8" hidden="1" x14ac:dyDescent="0.25">
      <c r="B759" s="90">
        <f>Gradesheet!A787</f>
        <v>5</v>
      </c>
      <c r="C759" s="91">
        <f>(Gradesheet!B787)</f>
        <v>0</v>
      </c>
      <c r="D759" s="92">
        <f>IF(Outline!$C$14&gt;0,Gradesheet!AD787,Gradesheet!AK787)</f>
        <v>0</v>
      </c>
      <c r="E759" s="145">
        <f>IF(Outline!$C$14&gt;0,Gradesheet!L787,Gradesheet!AR787)</f>
        <v>0</v>
      </c>
      <c r="F759" s="145">
        <f>IF(Outline!$C$14&gt;0,Gradesheet!AZ787,"NA")</f>
        <v>0</v>
      </c>
      <c r="G759" s="145">
        <f>IF(Outline!$C$14&gt;0,Gradesheet!U757,Gradesheet!AY757)</f>
        <v>0</v>
      </c>
      <c r="H759" s="146">
        <f t="shared" si="12"/>
        <v>0</v>
      </c>
    </row>
    <row r="760" spans="2:8" hidden="1" x14ac:dyDescent="0.25">
      <c r="B760" s="90">
        <f>Gradesheet!A788</f>
        <v>6</v>
      </c>
      <c r="C760" s="91">
        <f>(Gradesheet!B788)</f>
        <v>0</v>
      </c>
      <c r="D760" s="92">
        <f>IF(Outline!$C$14&gt;0,Gradesheet!AD788,Gradesheet!AK788)</f>
        <v>0</v>
      </c>
      <c r="E760" s="145">
        <f>IF(Outline!$C$14&gt;0,Gradesheet!L788,Gradesheet!AR788)</f>
        <v>0</v>
      </c>
      <c r="F760" s="145">
        <f>IF(Outline!$C$14&gt;0,Gradesheet!AZ788,"NA")</f>
        <v>0</v>
      </c>
      <c r="G760" s="145">
        <f>IF(Outline!$C$14&gt;0,Gradesheet!U758,Gradesheet!AY758)</f>
        <v>0</v>
      </c>
      <c r="H760" s="146">
        <f t="shared" si="12"/>
        <v>0</v>
      </c>
    </row>
    <row r="761" spans="2:8" hidden="1" x14ac:dyDescent="0.25">
      <c r="B761" s="90">
        <f>Gradesheet!A789</f>
        <v>7</v>
      </c>
      <c r="C761" s="91">
        <f>(Gradesheet!B789)</f>
        <v>0</v>
      </c>
      <c r="D761" s="92">
        <f>IF(Outline!$C$14&gt;0,Gradesheet!AD789,Gradesheet!AK789)</f>
        <v>0</v>
      </c>
      <c r="E761" s="145">
        <f>IF(Outline!$C$14&gt;0,Gradesheet!L789,Gradesheet!AR789)</f>
        <v>0</v>
      </c>
      <c r="F761" s="145">
        <f>IF(Outline!$C$14&gt;0,Gradesheet!AZ789,"NA")</f>
        <v>0</v>
      </c>
      <c r="G761" s="145">
        <f>IF(Outline!$C$14&gt;0,Gradesheet!U759,Gradesheet!AY759)</f>
        <v>0</v>
      </c>
      <c r="H761" s="146">
        <f t="shared" si="12"/>
        <v>0</v>
      </c>
    </row>
    <row r="762" spans="2:8" hidden="1" x14ac:dyDescent="0.25">
      <c r="B762" s="90">
        <f>Gradesheet!A790</f>
        <v>8</v>
      </c>
      <c r="C762" s="91">
        <f>(Gradesheet!B790)</f>
        <v>0</v>
      </c>
      <c r="D762" s="92">
        <f>IF(Outline!$C$14&gt;0,Gradesheet!AD790,Gradesheet!AK790)</f>
        <v>0</v>
      </c>
      <c r="E762" s="145">
        <f>IF(Outline!$C$14&gt;0,Gradesheet!L790,Gradesheet!AR790)</f>
        <v>0</v>
      </c>
      <c r="F762" s="145">
        <f>IF(Outline!$C$14&gt;0,Gradesheet!AZ790,"NA")</f>
        <v>0</v>
      </c>
      <c r="G762" s="145">
        <f>IF(Outline!$C$14&gt;0,Gradesheet!U760,Gradesheet!AY760)</f>
        <v>0</v>
      </c>
      <c r="H762" s="146">
        <f t="shared" si="12"/>
        <v>0</v>
      </c>
    </row>
    <row r="763" spans="2:8" hidden="1" x14ac:dyDescent="0.25">
      <c r="B763" s="90">
        <f>Gradesheet!A791</f>
        <v>9</v>
      </c>
      <c r="C763" s="91">
        <f>(Gradesheet!B791)</f>
        <v>0</v>
      </c>
      <c r="D763" s="92">
        <f>IF(Outline!$C$14&gt;0,Gradesheet!AD791,Gradesheet!AK791)</f>
        <v>0</v>
      </c>
      <c r="E763" s="145">
        <f>IF(Outline!$C$14&gt;0,Gradesheet!L791,Gradesheet!AR791)</f>
        <v>0</v>
      </c>
      <c r="F763" s="145">
        <f>IF(Outline!$C$14&gt;0,Gradesheet!AZ791,"NA")</f>
        <v>0</v>
      </c>
      <c r="G763" s="145">
        <f>IF(Outline!$C$14&gt;0,Gradesheet!U761,Gradesheet!AY761)</f>
        <v>0</v>
      </c>
      <c r="H763" s="146">
        <f t="shared" si="12"/>
        <v>0</v>
      </c>
    </row>
    <row r="764" spans="2:8" hidden="1" x14ac:dyDescent="0.25">
      <c r="B764" s="90">
        <f>Gradesheet!A792</f>
        <v>10</v>
      </c>
      <c r="C764" s="91">
        <f>(Gradesheet!B792)</f>
        <v>0</v>
      </c>
      <c r="D764" s="92">
        <f>IF(Outline!$C$14&gt;0,Gradesheet!AD792,Gradesheet!AK792)</f>
        <v>0</v>
      </c>
      <c r="E764" s="145">
        <f>IF(Outline!$C$14&gt;0,Gradesheet!L792,Gradesheet!AR792)</f>
        <v>0</v>
      </c>
      <c r="F764" s="145">
        <f>IF(Outline!$C$14&gt;0,Gradesheet!AZ792,"NA")</f>
        <v>0</v>
      </c>
      <c r="G764" s="145">
        <f>IF(Outline!$C$14&gt;0,Gradesheet!U762,Gradesheet!AY762)</f>
        <v>0</v>
      </c>
      <c r="H764" s="146">
        <f t="shared" si="12"/>
        <v>0</v>
      </c>
    </row>
    <row r="765" spans="2:8" hidden="1" x14ac:dyDescent="0.25">
      <c r="B765" s="90">
        <f>Gradesheet!A793</f>
        <v>11</v>
      </c>
      <c r="C765" s="91">
        <f>(Gradesheet!B793)</f>
        <v>0</v>
      </c>
      <c r="D765" s="92">
        <f>IF(Outline!$C$14&gt;0,Gradesheet!AD793,Gradesheet!AK793)</f>
        <v>0</v>
      </c>
      <c r="E765" s="145">
        <f>IF(Outline!$C$14&gt;0,Gradesheet!L793,Gradesheet!AR793)</f>
        <v>0</v>
      </c>
      <c r="F765" s="145">
        <f>IF(Outline!$C$14&gt;0,Gradesheet!AZ793,"NA")</f>
        <v>0</v>
      </c>
      <c r="G765" s="145">
        <f>IF(Outline!$C$14&gt;0,Gradesheet!U763,Gradesheet!AY763)</f>
        <v>0</v>
      </c>
      <c r="H765" s="146">
        <f t="shared" si="12"/>
        <v>0</v>
      </c>
    </row>
    <row r="766" spans="2:8" hidden="1" x14ac:dyDescent="0.25">
      <c r="B766" s="90">
        <f>Gradesheet!A794</f>
        <v>12</v>
      </c>
      <c r="C766" s="91">
        <f>(Gradesheet!B794)</f>
        <v>0</v>
      </c>
      <c r="D766" s="92">
        <f>IF(Outline!$C$14&gt;0,Gradesheet!AD794,Gradesheet!AK794)</f>
        <v>0</v>
      </c>
      <c r="E766" s="145">
        <f>IF(Outline!$C$14&gt;0,Gradesheet!L794,Gradesheet!AR794)</f>
        <v>0</v>
      </c>
      <c r="F766" s="145">
        <f>IF(Outline!$C$14&gt;0,Gradesheet!AZ794,"NA")</f>
        <v>0</v>
      </c>
      <c r="G766" s="145">
        <f>IF(Outline!$C$14&gt;0,Gradesheet!U764,Gradesheet!AY764)</f>
        <v>0</v>
      </c>
      <c r="H766" s="146">
        <f t="shared" si="12"/>
        <v>0</v>
      </c>
    </row>
    <row r="767" spans="2:8" hidden="1" x14ac:dyDescent="0.25">
      <c r="B767" s="90">
        <f>Gradesheet!A795</f>
        <v>13</v>
      </c>
      <c r="C767" s="91">
        <f>(Gradesheet!B795)</f>
        <v>0</v>
      </c>
      <c r="D767" s="92">
        <f>IF(Outline!$C$14&gt;0,Gradesheet!AD795,Gradesheet!AK795)</f>
        <v>0</v>
      </c>
      <c r="E767" s="145">
        <f>IF(Outline!$C$14&gt;0,Gradesheet!L795,Gradesheet!AR795)</f>
        <v>0</v>
      </c>
      <c r="F767" s="145">
        <f>IF(Outline!$C$14&gt;0,Gradesheet!AZ795,"NA")</f>
        <v>0</v>
      </c>
      <c r="G767" s="145">
        <f>IF(Outline!$C$14&gt;0,Gradesheet!U765,Gradesheet!AY765)</f>
        <v>0</v>
      </c>
      <c r="H767" s="146">
        <f t="shared" si="12"/>
        <v>0</v>
      </c>
    </row>
    <row r="768" spans="2:8" hidden="1" x14ac:dyDescent="0.25">
      <c r="B768" s="90">
        <f>Gradesheet!A796</f>
        <v>14</v>
      </c>
      <c r="C768" s="91">
        <f>(Gradesheet!B796)</f>
        <v>0</v>
      </c>
      <c r="D768" s="92">
        <f>IF(Outline!$C$14&gt;0,Gradesheet!AD796,Gradesheet!AK796)</f>
        <v>0</v>
      </c>
      <c r="E768" s="145">
        <f>IF(Outline!$C$14&gt;0,Gradesheet!L796,Gradesheet!AR796)</f>
        <v>0</v>
      </c>
      <c r="F768" s="145">
        <f>IF(Outline!$C$14&gt;0,Gradesheet!AZ796,"NA")</f>
        <v>0</v>
      </c>
      <c r="G768" s="145">
        <f>IF(Outline!$C$14&gt;0,Gradesheet!U766,Gradesheet!AY766)</f>
        <v>0</v>
      </c>
      <c r="H768" s="146">
        <f t="shared" si="12"/>
        <v>0</v>
      </c>
    </row>
    <row r="769" spans="2:8" hidden="1" x14ac:dyDescent="0.25">
      <c r="B769" s="90">
        <f>Gradesheet!A797</f>
        <v>15</v>
      </c>
      <c r="C769" s="91">
        <f>(Gradesheet!B797)</f>
        <v>0</v>
      </c>
      <c r="D769" s="92">
        <f>IF(Outline!$C$14&gt;0,Gradesheet!AD797,Gradesheet!AK797)</f>
        <v>0</v>
      </c>
      <c r="E769" s="145">
        <f>IF(Outline!$C$14&gt;0,Gradesheet!L797,Gradesheet!AR797)</f>
        <v>0</v>
      </c>
      <c r="F769" s="145">
        <f>IF(Outline!$C$14&gt;0,Gradesheet!AZ797,"NA")</f>
        <v>0</v>
      </c>
      <c r="G769" s="145">
        <f>IF(Outline!$C$14&gt;0,Gradesheet!U767,Gradesheet!AY767)</f>
        <v>0</v>
      </c>
      <c r="H769" s="146">
        <f t="shared" si="12"/>
        <v>0</v>
      </c>
    </row>
    <row r="770" spans="2:8" hidden="1" x14ac:dyDescent="0.25">
      <c r="B770" s="90">
        <f>Gradesheet!A798</f>
        <v>16</v>
      </c>
      <c r="C770" s="91">
        <f>(Gradesheet!B798)</f>
        <v>0</v>
      </c>
      <c r="D770" s="92">
        <f>IF(Outline!$C$14&gt;0,Gradesheet!AD798,Gradesheet!AK798)</f>
        <v>0</v>
      </c>
      <c r="E770" s="145">
        <f>IF(Outline!$C$14&gt;0,Gradesheet!L798,Gradesheet!AR798)</f>
        <v>0</v>
      </c>
      <c r="F770" s="145">
        <f>IF(Outline!$C$14&gt;0,Gradesheet!AZ798,"NA")</f>
        <v>0</v>
      </c>
      <c r="G770" s="145">
        <f>IF(Outline!$C$14&gt;0,Gradesheet!U768,Gradesheet!AY768)</f>
        <v>0</v>
      </c>
      <c r="H770" s="146">
        <f t="shared" si="12"/>
        <v>0</v>
      </c>
    </row>
    <row r="771" spans="2:8" hidden="1" x14ac:dyDescent="0.25">
      <c r="B771" s="90">
        <f>Gradesheet!A799</f>
        <v>17</v>
      </c>
      <c r="C771" s="91">
        <f>(Gradesheet!B799)</f>
        <v>0</v>
      </c>
      <c r="D771" s="92">
        <f>IF(Outline!$C$14&gt;0,Gradesheet!AD799,Gradesheet!AK799)</f>
        <v>0</v>
      </c>
      <c r="E771" s="145">
        <f>IF(Outline!$C$14&gt;0,Gradesheet!L799,Gradesheet!AR799)</f>
        <v>0</v>
      </c>
      <c r="F771" s="145">
        <f>IF(Outline!$C$14&gt;0,Gradesheet!AZ799,"NA")</f>
        <v>0</v>
      </c>
      <c r="G771" s="145">
        <f>IF(Outline!$C$14&gt;0,Gradesheet!U769,Gradesheet!AY769)</f>
        <v>0</v>
      </c>
      <c r="H771" s="146">
        <f t="shared" si="12"/>
        <v>0</v>
      </c>
    </row>
    <row r="772" spans="2:8" hidden="1" x14ac:dyDescent="0.25">
      <c r="B772" s="90">
        <f>Gradesheet!A800</f>
        <v>18</v>
      </c>
      <c r="C772" s="91">
        <f>(Gradesheet!B800)</f>
        <v>0</v>
      </c>
      <c r="D772" s="92">
        <f>IF(Outline!$C$14&gt;0,Gradesheet!AD800,Gradesheet!AK800)</f>
        <v>0</v>
      </c>
      <c r="E772" s="145">
        <f>IF(Outline!$C$14&gt;0,Gradesheet!L800,Gradesheet!AR800)</f>
        <v>0</v>
      </c>
      <c r="F772" s="145">
        <f>IF(Outline!$C$14&gt;0,Gradesheet!AZ800,"NA")</f>
        <v>0</v>
      </c>
      <c r="G772" s="145">
        <f>IF(Outline!$C$14&gt;0,Gradesheet!U770,Gradesheet!AY770)</f>
        <v>0</v>
      </c>
      <c r="H772" s="146">
        <f t="shared" si="12"/>
        <v>0</v>
      </c>
    </row>
    <row r="773" spans="2:8" hidden="1" x14ac:dyDescent="0.25">
      <c r="B773" s="90">
        <f>Gradesheet!A801</f>
        <v>19</v>
      </c>
      <c r="C773" s="91">
        <f>(Gradesheet!B801)</f>
        <v>0</v>
      </c>
      <c r="D773" s="92">
        <f>IF(Outline!$C$14&gt;0,Gradesheet!AD801,Gradesheet!AK801)</f>
        <v>0</v>
      </c>
      <c r="E773" s="145">
        <f>IF(Outline!$C$14&gt;0,Gradesheet!L801,Gradesheet!AR801)</f>
        <v>0</v>
      </c>
      <c r="F773" s="145">
        <f>IF(Outline!$C$14&gt;0,Gradesheet!AZ801,"NA")</f>
        <v>0</v>
      </c>
      <c r="G773" s="145">
        <f>IF(Outline!$C$14&gt;0,Gradesheet!U771,Gradesheet!AY771)</f>
        <v>0</v>
      </c>
      <c r="H773" s="146">
        <f t="shared" si="12"/>
        <v>0</v>
      </c>
    </row>
    <row r="774" spans="2:8" hidden="1" x14ac:dyDescent="0.25">
      <c r="B774" s="90">
        <f>Gradesheet!A802</f>
        <v>20</v>
      </c>
      <c r="C774" s="91">
        <f>(Gradesheet!B802)</f>
        <v>0</v>
      </c>
      <c r="D774" s="92">
        <f>IF(Outline!$C$14&gt;0,Gradesheet!AD802,Gradesheet!AK802)</f>
        <v>0</v>
      </c>
      <c r="E774" s="145">
        <f>IF(Outline!$C$14&gt;0,Gradesheet!L802,Gradesheet!AR802)</f>
        <v>0</v>
      </c>
      <c r="F774" s="145">
        <f>IF(Outline!$C$14&gt;0,Gradesheet!AZ802,"NA")</f>
        <v>0</v>
      </c>
      <c r="G774" s="145">
        <f>IF(Outline!$C$14&gt;0,Gradesheet!U772,Gradesheet!AY772)</f>
        <v>0</v>
      </c>
      <c r="H774" s="146">
        <f t="shared" si="12"/>
        <v>0</v>
      </c>
    </row>
    <row r="775" spans="2:8" hidden="1" x14ac:dyDescent="0.25">
      <c r="B775" s="90">
        <f>Gradesheet!A803</f>
        <v>21</v>
      </c>
      <c r="C775" s="91">
        <f>(Gradesheet!B803)</f>
        <v>0</v>
      </c>
      <c r="D775" s="92">
        <f>IF(Outline!$C$14&gt;0,Gradesheet!AD803,Gradesheet!AK803)</f>
        <v>0</v>
      </c>
      <c r="E775" s="145">
        <f>IF(Outline!$C$14&gt;0,Gradesheet!L803,Gradesheet!AR803)</f>
        <v>0</v>
      </c>
      <c r="F775" s="145">
        <f>IF(Outline!$C$14&gt;0,Gradesheet!AZ803,"NA")</f>
        <v>0</v>
      </c>
      <c r="G775" s="145">
        <f>IF(Outline!$C$14&gt;0,Gradesheet!U773,Gradesheet!AY773)</f>
        <v>0</v>
      </c>
      <c r="H775" s="146">
        <f t="shared" ref="H775:H838" si="13">SUM(D775:G775)</f>
        <v>0</v>
      </c>
    </row>
    <row r="776" spans="2:8" hidden="1" x14ac:dyDescent="0.25">
      <c r="B776" s="90">
        <f>Gradesheet!A804</f>
        <v>22</v>
      </c>
      <c r="C776" s="91">
        <f>(Gradesheet!B804)</f>
        <v>0</v>
      </c>
      <c r="D776" s="92">
        <f>IF(Outline!$C$14&gt;0,Gradesheet!AD804,Gradesheet!AK804)</f>
        <v>0</v>
      </c>
      <c r="E776" s="145">
        <f>IF(Outline!$C$14&gt;0,Gradesheet!L804,Gradesheet!AR804)</f>
        <v>0</v>
      </c>
      <c r="F776" s="145">
        <f>IF(Outline!$C$14&gt;0,Gradesheet!AZ804,"NA")</f>
        <v>0</v>
      </c>
      <c r="G776" s="145">
        <f>IF(Outline!$C$14&gt;0,Gradesheet!U774,Gradesheet!AY774)</f>
        <v>0</v>
      </c>
      <c r="H776" s="146">
        <f t="shared" si="13"/>
        <v>0</v>
      </c>
    </row>
    <row r="777" spans="2:8" hidden="1" x14ac:dyDescent="0.25">
      <c r="B777" s="90">
        <f>Gradesheet!A805</f>
        <v>23</v>
      </c>
      <c r="C777" s="91">
        <f>(Gradesheet!B805)</f>
        <v>0</v>
      </c>
      <c r="D777" s="92">
        <f>IF(Outline!$C$14&gt;0,Gradesheet!AD805,Gradesheet!AK805)</f>
        <v>0</v>
      </c>
      <c r="E777" s="145">
        <f>IF(Outline!$C$14&gt;0,Gradesheet!L805,Gradesheet!AR805)</f>
        <v>0</v>
      </c>
      <c r="F777" s="145">
        <f>IF(Outline!$C$14&gt;0,Gradesheet!AZ805,"NA")</f>
        <v>0</v>
      </c>
      <c r="G777" s="145">
        <f>IF(Outline!$C$14&gt;0,Gradesheet!U775,Gradesheet!AY775)</f>
        <v>0</v>
      </c>
      <c r="H777" s="146">
        <f t="shared" si="13"/>
        <v>0</v>
      </c>
    </row>
    <row r="778" spans="2:8" hidden="1" x14ac:dyDescent="0.25">
      <c r="B778" s="90">
        <f>Gradesheet!A806</f>
        <v>24</v>
      </c>
      <c r="C778" s="91">
        <f>(Gradesheet!B806)</f>
        <v>0</v>
      </c>
      <c r="D778" s="92">
        <f>IF(Outline!$C$14&gt;0,Gradesheet!AD806,Gradesheet!AK806)</f>
        <v>0</v>
      </c>
      <c r="E778" s="145">
        <f>IF(Outline!$C$14&gt;0,Gradesheet!L806,Gradesheet!AR806)</f>
        <v>0</v>
      </c>
      <c r="F778" s="145">
        <f>IF(Outline!$C$14&gt;0,Gradesheet!AZ806,"NA")</f>
        <v>0</v>
      </c>
      <c r="G778" s="145">
        <f>IF(Outline!$C$14&gt;0,Gradesheet!U776,Gradesheet!AY776)</f>
        <v>0</v>
      </c>
      <c r="H778" s="146">
        <f t="shared" si="13"/>
        <v>0</v>
      </c>
    </row>
    <row r="779" spans="2:8" hidden="1" x14ac:dyDescent="0.25">
      <c r="B779" s="90">
        <f>Gradesheet!A807</f>
        <v>25</v>
      </c>
      <c r="C779" s="91">
        <f>(Gradesheet!B807)</f>
        <v>0</v>
      </c>
      <c r="D779" s="92">
        <f>IF(Outline!$C$14&gt;0,Gradesheet!AD807,Gradesheet!AK807)</f>
        <v>0</v>
      </c>
      <c r="E779" s="145">
        <f>IF(Outline!$C$14&gt;0,Gradesheet!L807,Gradesheet!AR807)</f>
        <v>0</v>
      </c>
      <c r="F779" s="145">
        <f>IF(Outline!$C$14&gt;0,Gradesheet!AZ807,"NA")</f>
        <v>0</v>
      </c>
      <c r="G779" s="145">
        <f>IF(Outline!$C$14&gt;0,Gradesheet!U777,Gradesheet!AY777)</f>
        <v>0</v>
      </c>
      <c r="H779" s="146">
        <f t="shared" si="13"/>
        <v>0</v>
      </c>
    </row>
    <row r="780" spans="2:8" hidden="1" x14ac:dyDescent="0.25">
      <c r="B780" s="90">
        <f>Gradesheet!A808</f>
        <v>26</v>
      </c>
      <c r="C780" s="91">
        <f>(Gradesheet!B808)</f>
        <v>0</v>
      </c>
      <c r="D780" s="92">
        <f>IF(Outline!$C$14&gt;0,Gradesheet!AD808,Gradesheet!AK808)</f>
        <v>0</v>
      </c>
      <c r="E780" s="145">
        <f>IF(Outline!$C$14&gt;0,Gradesheet!L808,Gradesheet!AR808)</f>
        <v>0</v>
      </c>
      <c r="F780" s="145">
        <f>IF(Outline!$C$14&gt;0,Gradesheet!AZ808,"NA")</f>
        <v>0</v>
      </c>
      <c r="G780" s="145">
        <f>IF(Outline!$C$14&gt;0,Gradesheet!U778,Gradesheet!AY778)</f>
        <v>0</v>
      </c>
      <c r="H780" s="146">
        <f t="shared" si="13"/>
        <v>0</v>
      </c>
    </row>
    <row r="781" spans="2:8" hidden="1" x14ac:dyDescent="0.25">
      <c r="B781" s="90">
        <f>Gradesheet!A809</f>
        <v>27</v>
      </c>
      <c r="C781" s="91">
        <f>(Gradesheet!B809)</f>
        <v>0</v>
      </c>
      <c r="D781" s="92">
        <f>IF(Outline!$C$14&gt;0,Gradesheet!AD809,Gradesheet!AK809)</f>
        <v>0</v>
      </c>
      <c r="E781" s="145">
        <f>IF(Outline!$C$14&gt;0,Gradesheet!L809,Gradesheet!AR809)</f>
        <v>0</v>
      </c>
      <c r="F781" s="145">
        <f>IF(Outline!$C$14&gt;0,Gradesheet!AZ809,"NA")</f>
        <v>0</v>
      </c>
      <c r="G781" s="145">
        <f>IF(Outline!$C$14&gt;0,Gradesheet!U779,Gradesheet!AY779)</f>
        <v>0</v>
      </c>
      <c r="H781" s="146">
        <f t="shared" si="13"/>
        <v>0</v>
      </c>
    </row>
    <row r="782" spans="2:8" hidden="1" x14ac:dyDescent="0.25">
      <c r="B782" s="90">
        <f>Gradesheet!A810</f>
        <v>28</v>
      </c>
      <c r="C782" s="91">
        <f>(Gradesheet!B810)</f>
        <v>0</v>
      </c>
      <c r="D782" s="92">
        <f>IF(Outline!$C$14&gt;0,Gradesheet!AD810,Gradesheet!AK810)</f>
        <v>0</v>
      </c>
      <c r="E782" s="145">
        <f>IF(Outline!$C$14&gt;0,Gradesheet!L810,Gradesheet!AR810)</f>
        <v>0</v>
      </c>
      <c r="F782" s="145">
        <f>IF(Outline!$C$14&gt;0,Gradesheet!AZ810,"NA")</f>
        <v>0</v>
      </c>
      <c r="G782" s="145">
        <f>IF(Outline!$C$14&gt;0,Gradesheet!U780,Gradesheet!AY780)</f>
        <v>0</v>
      </c>
      <c r="H782" s="146">
        <f t="shared" si="13"/>
        <v>0</v>
      </c>
    </row>
    <row r="783" spans="2:8" hidden="1" x14ac:dyDescent="0.25">
      <c r="B783" s="90">
        <f>Gradesheet!A811</f>
        <v>29</v>
      </c>
      <c r="C783" s="91">
        <f>(Gradesheet!B811)</f>
        <v>0</v>
      </c>
      <c r="D783" s="92">
        <f>IF(Outline!$C$14&gt;0,Gradesheet!AD811,Gradesheet!AK811)</f>
        <v>0</v>
      </c>
      <c r="E783" s="145">
        <f>IF(Outline!$C$14&gt;0,Gradesheet!L811,Gradesheet!AR811)</f>
        <v>0</v>
      </c>
      <c r="F783" s="145">
        <f>IF(Outline!$C$14&gt;0,Gradesheet!AZ811,"NA")</f>
        <v>0</v>
      </c>
      <c r="G783" s="145">
        <f>IF(Outline!$C$14&gt;0,Gradesheet!U781,Gradesheet!AY781)</f>
        <v>0</v>
      </c>
      <c r="H783" s="146">
        <f t="shared" si="13"/>
        <v>0</v>
      </c>
    </row>
    <row r="784" spans="2:8" hidden="1" x14ac:dyDescent="0.25">
      <c r="B784" s="90">
        <f>Gradesheet!A812</f>
        <v>30</v>
      </c>
      <c r="C784" s="91">
        <f>(Gradesheet!B812)</f>
        <v>0</v>
      </c>
      <c r="D784" s="92">
        <f>IF(Outline!$C$14&gt;0,Gradesheet!AD812,Gradesheet!AK812)</f>
        <v>0</v>
      </c>
      <c r="E784" s="145">
        <f>IF(Outline!$C$14&gt;0,Gradesheet!L812,Gradesheet!AR812)</f>
        <v>0</v>
      </c>
      <c r="F784" s="145">
        <f>IF(Outline!$C$14&gt;0,Gradesheet!AZ812,"NA")</f>
        <v>0</v>
      </c>
      <c r="G784" s="145">
        <f>IF(Outline!$C$14&gt;0,Gradesheet!U782,Gradesheet!AY782)</f>
        <v>0</v>
      </c>
      <c r="H784" s="146">
        <f t="shared" si="13"/>
        <v>0</v>
      </c>
    </row>
    <row r="785" spans="2:8" hidden="1" x14ac:dyDescent="0.25">
      <c r="B785" s="90">
        <f>Gradesheet!A813</f>
        <v>31</v>
      </c>
      <c r="C785" s="91">
        <f>(Gradesheet!B813)</f>
        <v>0</v>
      </c>
      <c r="D785" s="92">
        <f>IF(Outline!$C$14&gt;0,Gradesheet!AD813,Gradesheet!AK813)</f>
        <v>0</v>
      </c>
      <c r="E785" s="145">
        <f>IF(Outline!$C$14&gt;0,Gradesheet!L813,Gradesheet!AR813)</f>
        <v>0</v>
      </c>
      <c r="F785" s="145">
        <f>IF(Outline!$C$14&gt;0,Gradesheet!AZ813,"NA")</f>
        <v>0</v>
      </c>
      <c r="G785" s="145">
        <f>IF(Outline!$C$14&gt;0,Gradesheet!U783,Gradesheet!AY783)</f>
        <v>0</v>
      </c>
      <c r="H785" s="146">
        <f t="shared" si="13"/>
        <v>0</v>
      </c>
    </row>
    <row r="786" spans="2:8" hidden="1" x14ac:dyDescent="0.25">
      <c r="B786" s="90">
        <f>Gradesheet!A814</f>
        <v>32</v>
      </c>
      <c r="C786" s="91">
        <f>(Gradesheet!B814)</f>
        <v>0</v>
      </c>
      <c r="D786" s="92">
        <f>IF(Outline!$C$14&gt;0,Gradesheet!AD814,Gradesheet!AK814)</f>
        <v>0</v>
      </c>
      <c r="E786" s="145">
        <f>IF(Outline!$C$14&gt;0,Gradesheet!L814,Gradesheet!AR814)</f>
        <v>0</v>
      </c>
      <c r="F786" s="145">
        <f>IF(Outline!$C$14&gt;0,Gradesheet!AZ814,"NA")</f>
        <v>0</v>
      </c>
      <c r="G786" s="145">
        <f>IF(Outline!$C$14&gt;0,Gradesheet!U784,Gradesheet!AY784)</f>
        <v>0</v>
      </c>
      <c r="H786" s="146">
        <f t="shared" si="13"/>
        <v>0</v>
      </c>
    </row>
    <row r="787" spans="2:8" hidden="1" x14ac:dyDescent="0.25">
      <c r="B787" s="90">
        <f>Gradesheet!A815</f>
        <v>33</v>
      </c>
      <c r="C787" s="91">
        <f>(Gradesheet!B815)</f>
        <v>0</v>
      </c>
      <c r="D787" s="92">
        <f>IF(Outline!$C$14&gt;0,Gradesheet!AD815,Gradesheet!AK815)</f>
        <v>0</v>
      </c>
      <c r="E787" s="145">
        <f>IF(Outline!$C$14&gt;0,Gradesheet!L815,Gradesheet!AR815)</f>
        <v>0</v>
      </c>
      <c r="F787" s="145">
        <f>IF(Outline!$C$14&gt;0,Gradesheet!AZ815,"NA")</f>
        <v>0</v>
      </c>
      <c r="G787" s="145">
        <f>IF(Outline!$C$14&gt;0,Gradesheet!U785,Gradesheet!AY785)</f>
        <v>0</v>
      </c>
      <c r="H787" s="146">
        <f t="shared" si="13"/>
        <v>0</v>
      </c>
    </row>
    <row r="788" spans="2:8" hidden="1" x14ac:dyDescent="0.25">
      <c r="B788" s="90">
        <f>Gradesheet!A816</f>
        <v>34</v>
      </c>
      <c r="C788" s="91">
        <f>(Gradesheet!B816)</f>
        <v>0</v>
      </c>
      <c r="D788" s="92">
        <f>IF(Outline!$C$14&gt;0,Gradesheet!AD816,Gradesheet!AK816)</f>
        <v>0</v>
      </c>
      <c r="E788" s="145">
        <f>IF(Outline!$C$14&gt;0,Gradesheet!L816,Gradesheet!AR816)</f>
        <v>0</v>
      </c>
      <c r="F788" s="145">
        <f>IF(Outline!$C$14&gt;0,Gradesheet!AZ816,"NA")</f>
        <v>0</v>
      </c>
      <c r="G788" s="145">
        <f>IF(Outline!$C$14&gt;0,Gradesheet!U786,Gradesheet!AY786)</f>
        <v>0</v>
      </c>
      <c r="H788" s="146">
        <f t="shared" si="13"/>
        <v>0</v>
      </c>
    </row>
    <row r="789" spans="2:8" hidden="1" x14ac:dyDescent="0.25">
      <c r="B789" s="90">
        <f>Gradesheet!A817</f>
        <v>35</v>
      </c>
      <c r="C789" s="91">
        <f>(Gradesheet!B817)</f>
        <v>0</v>
      </c>
      <c r="D789" s="92">
        <f>IF(Outline!$C$14&gt;0,Gradesheet!AD817,Gradesheet!AK817)</f>
        <v>0</v>
      </c>
      <c r="E789" s="145">
        <f>IF(Outline!$C$14&gt;0,Gradesheet!L817,Gradesheet!AR817)</f>
        <v>0</v>
      </c>
      <c r="F789" s="145">
        <f>IF(Outline!$C$14&gt;0,Gradesheet!AZ817,"NA")</f>
        <v>0</v>
      </c>
      <c r="G789" s="145">
        <f>IF(Outline!$C$14&gt;0,Gradesheet!U787,Gradesheet!AY787)</f>
        <v>0</v>
      </c>
      <c r="H789" s="146">
        <f t="shared" si="13"/>
        <v>0</v>
      </c>
    </row>
    <row r="790" spans="2:8" hidden="1" x14ac:dyDescent="0.25">
      <c r="B790" s="90">
        <f>Gradesheet!A818</f>
        <v>36</v>
      </c>
      <c r="C790" s="91">
        <f>(Gradesheet!B818)</f>
        <v>0</v>
      </c>
      <c r="D790" s="92">
        <f>IF(Outline!$C$14&gt;0,Gradesheet!AD818,Gradesheet!AK818)</f>
        <v>0</v>
      </c>
      <c r="E790" s="145">
        <f>IF(Outline!$C$14&gt;0,Gradesheet!L818,Gradesheet!AR818)</f>
        <v>0</v>
      </c>
      <c r="F790" s="145">
        <f>IF(Outline!$C$14&gt;0,Gradesheet!AZ818,"NA")</f>
        <v>0</v>
      </c>
      <c r="G790" s="145">
        <f>IF(Outline!$C$14&gt;0,Gradesheet!U788,Gradesheet!AY788)</f>
        <v>0</v>
      </c>
      <c r="H790" s="146">
        <f t="shared" si="13"/>
        <v>0</v>
      </c>
    </row>
    <row r="791" spans="2:8" hidden="1" x14ac:dyDescent="0.25">
      <c r="B791" s="90">
        <f>Gradesheet!A819</f>
        <v>37</v>
      </c>
      <c r="C791" s="91">
        <f>(Gradesheet!B819)</f>
        <v>0</v>
      </c>
      <c r="D791" s="92">
        <f>IF(Outline!$C$14&gt;0,Gradesheet!AD819,Gradesheet!AK819)</f>
        <v>0</v>
      </c>
      <c r="E791" s="145">
        <f>IF(Outline!$C$14&gt;0,Gradesheet!L819,Gradesheet!AR819)</f>
        <v>0</v>
      </c>
      <c r="F791" s="145">
        <f>IF(Outline!$C$14&gt;0,Gradesheet!AZ819,"NA")</f>
        <v>0</v>
      </c>
      <c r="G791" s="145">
        <f>IF(Outline!$C$14&gt;0,Gradesheet!U789,Gradesheet!AY789)</f>
        <v>0</v>
      </c>
      <c r="H791" s="146">
        <f t="shared" si="13"/>
        <v>0</v>
      </c>
    </row>
    <row r="792" spans="2:8" hidden="1" x14ac:dyDescent="0.25">
      <c r="B792" s="90">
        <f>Gradesheet!A820</f>
        <v>38</v>
      </c>
      <c r="C792" s="91">
        <f>(Gradesheet!B820)</f>
        <v>0</v>
      </c>
      <c r="D792" s="92">
        <f>IF(Outline!$C$14&gt;0,Gradesheet!AD820,Gradesheet!AK820)</f>
        <v>0</v>
      </c>
      <c r="E792" s="145">
        <f>IF(Outline!$C$14&gt;0,Gradesheet!L820,Gradesheet!AR820)</f>
        <v>0</v>
      </c>
      <c r="F792" s="145">
        <f>IF(Outline!$C$14&gt;0,Gradesheet!AZ820,"NA")</f>
        <v>0</v>
      </c>
      <c r="G792" s="145">
        <f>IF(Outline!$C$14&gt;0,Gradesheet!U790,Gradesheet!AY790)</f>
        <v>0</v>
      </c>
      <c r="H792" s="146">
        <f t="shared" si="13"/>
        <v>0</v>
      </c>
    </row>
    <row r="793" spans="2:8" hidden="1" x14ac:dyDescent="0.25">
      <c r="B793" s="90">
        <f>Gradesheet!A821</f>
        <v>39</v>
      </c>
      <c r="C793" s="91">
        <f>(Gradesheet!B821)</f>
        <v>0</v>
      </c>
      <c r="D793" s="92">
        <f>IF(Outline!$C$14&gt;0,Gradesheet!AD821,Gradesheet!AK821)</f>
        <v>0</v>
      </c>
      <c r="E793" s="145">
        <f>IF(Outline!$C$14&gt;0,Gradesheet!L821,Gradesheet!AR821)</f>
        <v>0</v>
      </c>
      <c r="F793" s="145">
        <f>IF(Outline!$C$14&gt;0,Gradesheet!AZ821,"NA")</f>
        <v>0</v>
      </c>
      <c r="G793" s="145">
        <f>IF(Outline!$C$14&gt;0,Gradesheet!U791,Gradesheet!AY791)</f>
        <v>0</v>
      </c>
      <c r="H793" s="146">
        <f t="shared" si="13"/>
        <v>0</v>
      </c>
    </row>
    <row r="794" spans="2:8" hidden="1" x14ac:dyDescent="0.25">
      <c r="B794" s="90">
        <f>Gradesheet!A822</f>
        <v>40</v>
      </c>
      <c r="C794" s="91">
        <f>(Gradesheet!B822)</f>
        <v>0</v>
      </c>
      <c r="D794" s="92">
        <f>IF(Outline!$C$14&gt;0,Gradesheet!AD822,Gradesheet!AK822)</f>
        <v>0</v>
      </c>
      <c r="E794" s="145">
        <f>IF(Outline!$C$14&gt;0,Gradesheet!L822,Gradesheet!AR822)</f>
        <v>0</v>
      </c>
      <c r="F794" s="145">
        <f>IF(Outline!$C$14&gt;0,Gradesheet!AZ822,"NA")</f>
        <v>0</v>
      </c>
      <c r="G794" s="145">
        <f>IF(Outline!$C$14&gt;0,Gradesheet!U792,Gradesheet!AY792)</f>
        <v>0</v>
      </c>
      <c r="H794" s="146">
        <f t="shared" si="13"/>
        <v>0</v>
      </c>
    </row>
    <row r="795" spans="2:8" hidden="1" x14ac:dyDescent="0.25">
      <c r="B795" s="90">
        <f>Gradesheet!A823</f>
        <v>41</v>
      </c>
      <c r="C795" s="91">
        <f>(Gradesheet!B823)</f>
        <v>0</v>
      </c>
      <c r="D795" s="92">
        <f>IF(Outline!$C$14&gt;0,Gradesheet!AD823,Gradesheet!AK823)</f>
        <v>0</v>
      </c>
      <c r="E795" s="145">
        <f>IF(Outline!$C$14&gt;0,Gradesheet!L823,Gradesheet!AR823)</f>
        <v>0</v>
      </c>
      <c r="F795" s="145">
        <f>IF(Outline!$C$14&gt;0,Gradesheet!AZ823,"NA")</f>
        <v>0</v>
      </c>
      <c r="G795" s="145">
        <f>IF(Outline!$C$14&gt;0,Gradesheet!U793,Gradesheet!AY793)</f>
        <v>0</v>
      </c>
      <c r="H795" s="146">
        <f t="shared" si="13"/>
        <v>0</v>
      </c>
    </row>
    <row r="796" spans="2:8" hidden="1" x14ac:dyDescent="0.25">
      <c r="B796" s="90">
        <f>Gradesheet!A824</f>
        <v>42</v>
      </c>
      <c r="C796" s="91">
        <f>(Gradesheet!B824)</f>
        <v>0</v>
      </c>
      <c r="D796" s="92">
        <f>IF(Outline!$C$14&gt;0,Gradesheet!AD824,Gradesheet!AK824)</f>
        <v>0</v>
      </c>
      <c r="E796" s="145">
        <f>IF(Outline!$C$14&gt;0,Gradesheet!L824,Gradesheet!AR824)</f>
        <v>0</v>
      </c>
      <c r="F796" s="145">
        <f>IF(Outline!$C$14&gt;0,Gradesheet!AZ824,"NA")</f>
        <v>0</v>
      </c>
      <c r="G796" s="145">
        <f>IF(Outline!$C$14&gt;0,Gradesheet!U794,Gradesheet!AY794)</f>
        <v>0</v>
      </c>
      <c r="H796" s="146">
        <f t="shared" si="13"/>
        <v>0</v>
      </c>
    </row>
    <row r="797" spans="2:8" hidden="1" x14ac:dyDescent="0.25">
      <c r="B797" s="90">
        <f>Gradesheet!A825</f>
        <v>0</v>
      </c>
      <c r="C797" s="91">
        <f>(Gradesheet!B825)</f>
        <v>0</v>
      </c>
      <c r="D797" s="92">
        <f>IF(Outline!$C$14&gt;0,Gradesheet!AD825,Gradesheet!AK825)</f>
        <v>0</v>
      </c>
      <c r="E797" s="145">
        <f>IF(Outline!$C$14&gt;0,Gradesheet!L825,Gradesheet!AR825)</f>
        <v>0</v>
      </c>
      <c r="F797" s="145">
        <f>IF(Outline!$C$14&gt;0,Gradesheet!AZ825,"NA")</f>
        <v>0</v>
      </c>
      <c r="G797" s="145">
        <f>IF(Outline!$C$14&gt;0,Gradesheet!U795,Gradesheet!AY795)</f>
        <v>0</v>
      </c>
      <c r="H797" s="146">
        <f t="shared" si="13"/>
        <v>0</v>
      </c>
    </row>
    <row r="798" spans="2:8" hidden="1" x14ac:dyDescent="0.25">
      <c r="B798" s="90">
        <f>Gradesheet!A826</f>
        <v>1</v>
      </c>
      <c r="C798" s="91">
        <f>(Gradesheet!B826)</f>
        <v>0</v>
      </c>
      <c r="D798" s="92">
        <f>IF(Outline!$C$14&gt;0,Gradesheet!AD826,Gradesheet!AK826)</f>
        <v>0</v>
      </c>
      <c r="E798" s="145">
        <f>IF(Outline!$C$14&gt;0,Gradesheet!L826,Gradesheet!AR826)</f>
        <v>0</v>
      </c>
      <c r="F798" s="145">
        <f>IF(Outline!$C$14&gt;0,Gradesheet!AZ826,"NA")</f>
        <v>0</v>
      </c>
      <c r="G798" s="145">
        <f>IF(Outline!$C$14&gt;0,Gradesheet!U796,Gradesheet!AY796)</f>
        <v>0</v>
      </c>
      <c r="H798" s="146">
        <f t="shared" si="13"/>
        <v>0</v>
      </c>
    </row>
    <row r="799" spans="2:8" hidden="1" x14ac:dyDescent="0.25">
      <c r="B799" s="90">
        <f>Gradesheet!A827</f>
        <v>2</v>
      </c>
      <c r="C799" s="91">
        <f>(Gradesheet!B827)</f>
        <v>0</v>
      </c>
      <c r="D799" s="92">
        <f>IF(Outline!$C$14&gt;0,Gradesheet!AD827,Gradesheet!AK827)</f>
        <v>0</v>
      </c>
      <c r="E799" s="145">
        <f>IF(Outline!$C$14&gt;0,Gradesheet!L827,Gradesheet!AR827)</f>
        <v>0</v>
      </c>
      <c r="F799" s="145">
        <f>IF(Outline!$C$14&gt;0,Gradesheet!AZ827,"NA")</f>
        <v>0</v>
      </c>
      <c r="G799" s="145">
        <f>IF(Outline!$C$14&gt;0,Gradesheet!U797,Gradesheet!AY797)</f>
        <v>0</v>
      </c>
      <c r="H799" s="146">
        <f t="shared" si="13"/>
        <v>0</v>
      </c>
    </row>
    <row r="800" spans="2:8" hidden="1" x14ac:dyDescent="0.25">
      <c r="B800" s="90">
        <f>Gradesheet!A828</f>
        <v>3</v>
      </c>
      <c r="C800" s="91">
        <f>(Gradesheet!B828)</f>
        <v>0</v>
      </c>
      <c r="D800" s="92">
        <f>IF(Outline!$C$14&gt;0,Gradesheet!AD828,Gradesheet!AK828)</f>
        <v>0</v>
      </c>
      <c r="E800" s="145">
        <f>IF(Outline!$C$14&gt;0,Gradesheet!L828,Gradesheet!AR828)</f>
        <v>0</v>
      </c>
      <c r="F800" s="145">
        <f>IF(Outline!$C$14&gt;0,Gradesheet!AZ828,"NA")</f>
        <v>0</v>
      </c>
      <c r="G800" s="145">
        <f>IF(Outline!$C$14&gt;0,Gradesheet!U798,Gradesheet!AY798)</f>
        <v>0</v>
      </c>
      <c r="H800" s="146">
        <f t="shared" si="13"/>
        <v>0</v>
      </c>
    </row>
    <row r="801" spans="2:8" hidden="1" x14ac:dyDescent="0.25">
      <c r="B801" s="90">
        <f>Gradesheet!A829</f>
        <v>4</v>
      </c>
      <c r="C801" s="91">
        <f>(Gradesheet!B829)</f>
        <v>0</v>
      </c>
      <c r="D801" s="92">
        <f>IF(Outline!$C$14&gt;0,Gradesheet!AD829,Gradesheet!AK829)</f>
        <v>0</v>
      </c>
      <c r="E801" s="145">
        <f>IF(Outline!$C$14&gt;0,Gradesheet!L829,Gradesheet!AR829)</f>
        <v>0</v>
      </c>
      <c r="F801" s="145">
        <f>IF(Outline!$C$14&gt;0,Gradesheet!AZ829,"NA")</f>
        <v>0</v>
      </c>
      <c r="G801" s="145">
        <f>IF(Outline!$C$14&gt;0,Gradesheet!U799,Gradesheet!AY799)</f>
        <v>0</v>
      </c>
      <c r="H801" s="146">
        <f t="shared" si="13"/>
        <v>0</v>
      </c>
    </row>
    <row r="802" spans="2:8" hidden="1" x14ac:dyDescent="0.25">
      <c r="B802" s="90">
        <f>Gradesheet!A830</f>
        <v>5</v>
      </c>
      <c r="C802" s="91">
        <f>(Gradesheet!B830)</f>
        <v>0</v>
      </c>
      <c r="D802" s="92">
        <f>IF(Outline!$C$14&gt;0,Gradesheet!AD830,Gradesheet!AK830)</f>
        <v>0</v>
      </c>
      <c r="E802" s="145">
        <f>IF(Outline!$C$14&gt;0,Gradesheet!L830,Gradesheet!AR830)</f>
        <v>0</v>
      </c>
      <c r="F802" s="145">
        <f>IF(Outline!$C$14&gt;0,Gradesheet!AZ830,"NA")</f>
        <v>0</v>
      </c>
      <c r="G802" s="145">
        <f>IF(Outline!$C$14&gt;0,Gradesheet!U800,Gradesheet!AY800)</f>
        <v>0</v>
      </c>
      <c r="H802" s="146">
        <f t="shared" si="13"/>
        <v>0</v>
      </c>
    </row>
    <row r="803" spans="2:8" hidden="1" x14ac:dyDescent="0.25">
      <c r="B803" s="90">
        <f>Gradesheet!A831</f>
        <v>6</v>
      </c>
      <c r="C803" s="91">
        <f>(Gradesheet!B831)</f>
        <v>0</v>
      </c>
      <c r="D803" s="92">
        <f>IF(Outline!$C$14&gt;0,Gradesheet!AD831,Gradesheet!AK831)</f>
        <v>0</v>
      </c>
      <c r="E803" s="145">
        <f>IF(Outline!$C$14&gt;0,Gradesheet!L831,Gradesheet!AR831)</f>
        <v>0</v>
      </c>
      <c r="F803" s="145">
        <f>IF(Outline!$C$14&gt;0,Gradesheet!AZ831,"NA")</f>
        <v>0</v>
      </c>
      <c r="G803" s="145">
        <f>IF(Outline!$C$14&gt;0,Gradesheet!U801,Gradesheet!AY801)</f>
        <v>0</v>
      </c>
      <c r="H803" s="146">
        <f t="shared" si="13"/>
        <v>0</v>
      </c>
    </row>
    <row r="804" spans="2:8" hidden="1" x14ac:dyDescent="0.25">
      <c r="B804" s="90">
        <f>Gradesheet!A832</f>
        <v>7</v>
      </c>
      <c r="C804" s="91">
        <f>(Gradesheet!B832)</f>
        <v>0</v>
      </c>
      <c r="D804" s="92">
        <f>IF(Outline!$C$14&gt;0,Gradesheet!AD832,Gradesheet!AK832)</f>
        <v>0</v>
      </c>
      <c r="E804" s="145">
        <f>IF(Outline!$C$14&gt;0,Gradesheet!L832,Gradesheet!AR832)</f>
        <v>0</v>
      </c>
      <c r="F804" s="145">
        <f>IF(Outline!$C$14&gt;0,Gradesheet!AZ832,"NA")</f>
        <v>0</v>
      </c>
      <c r="G804" s="145">
        <f>IF(Outline!$C$14&gt;0,Gradesheet!U802,Gradesheet!AY802)</f>
        <v>0</v>
      </c>
      <c r="H804" s="146">
        <f t="shared" si="13"/>
        <v>0</v>
      </c>
    </row>
    <row r="805" spans="2:8" hidden="1" x14ac:dyDescent="0.25">
      <c r="B805" s="90">
        <f>Gradesheet!A833</f>
        <v>8</v>
      </c>
      <c r="C805" s="91">
        <f>(Gradesheet!B833)</f>
        <v>0</v>
      </c>
      <c r="D805" s="92">
        <f>IF(Outline!$C$14&gt;0,Gradesheet!AD833,Gradesheet!AK833)</f>
        <v>0</v>
      </c>
      <c r="E805" s="145">
        <f>IF(Outline!$C$14&gt;0,Gradesheet!L833,Gradesheet!AR833)</f>
        <v>0</v>
      </c>
      <c r="F805" s="145">
        <f>IF(Outline!$C$14&gt;0,Gradesheet!AZ833,"NA")</f>
        <v>0</v>
      </c>
      <c r="G805" s="145">
        <f>IF(Outline!$C$14&gt;0,Gradesheet!U803,Gradesheet!AY803)</f>
        <v>0</v>
      </c>
      <c r="H805" s="146">
        <f t="shared" si="13"/>
        <v>0</v>
      </c>
    </row>
    <row r="806" spans="2:8" hidden="1" x14ac:dyDescent="0.25">
      <c r="B806" s="90">
        <f>Gradesheet!A834</f>
        <v>9</v>
      </c>
      <c r="C806" s="91">
        <f>(Gradesheet!B834)</f>
        <v>0</v>
      </c>
      <c r="D806" s="92">
        <f>IF(Outline!$C$14&gt;0,Gradesheet!AD834,Gradesheet!AK834)</f>
        <v>0</v>
      </c>
      <c r="E806" s="145">
        <f>IF(Outline!$C$14&gt;0,Gradesheet!L834,Gradesheet!AR834)</f>
        <v>0</v>
      </c>
      <c r="F806" s="145">
        <f>IF(Outline!$C$14&gt;0,Gradesheet!AZ834,"NA")</f>
        <v>0</v>
      </c>
      <c r="G806" s="145">
        <f>IF(Outline!$C$14&gt;0,Gradesheet!U804,Gradesheet!AY804)</f>
        <v>0</v>
      </c>
      <c r="H806" s="146">
        <f t="shared" si="13"/>
        <v>0</v>
      </c>
    </row>
    <row r="807" spans="2:8" hidden="1" x14ac:dyDescent="0.25">
      <c r="B807" s="90">
        <f>Gradesheet!A835</f>
        <v>10</v>
      </c>
      <c r="C807" s="91">
        <f>(Gradesheet!B835)</f>
        <v>0</v>
      </c>
      <c r="D807" s="92">
        <f>IF(Outline!$C$14&gt;0,Gradesheet!AD835,Gradesheet!AK835)</f>
        <v>0</v>
      </c>
      <c r="E807" s="145">
        <f>IF(Outline!$C$14&gt;0,Gradesheet!L835,Gradesheet!AR835)</f>
        <v>0</v>
      </c>
      <c r="F807" s="145">
        <f>IF(Outline!$C$14&gt;0,Gradesheet!AZ835,"NA")</f>
        <v>0</v>
      </c>
      <c r="G807" s="145">
        <f>IF(Outline!$C$14&gt;0,Gradesheet!U805,Gradesheet!AY805)</f>
        <v>0</v>
      </c>
      <c r="H807" s="146">
        <f t="shared" si="13"/>
        <v>0</v>
      </c>
    </row>
    <row r="808" spans="2:8" hidden="1" x14ac:dyDescent="0.25">
      <c r="B808" s="90">
        <f>Gradesheet!A836</f>
        <v>11</v>
      </c>
      <c r="C808" s="91">
        <f>(Gradesheet!B836)</f>
        <v>0</v>
      </c>
      <c r="D808" s="92">
        <f>IF(Outline!$C$14&gt;0,Gradesheet!AD836,Gradesheet!AK836)</f>
        <v>0</v>
      </c>
      <c r="E808" s="145">
        <f>IF(Outline!$C$14&gt;0,Gradesheet!L836,Gradesheet!AR836)</f>
        <v>0</v>
      </c>
      <c r="F808" s="145">
        <f>IF(Outline!$C$14&gt;0,Gradesheet!AZ836,"NA")</f>
        <v>0</v>
      </c>
      <c r="G808" s="145">
        <f>IF(Outline!$C$14&gt;0,Gradesheet!U806,Gradesheet!AY806)</f>
        <v>0</v>
      </c>
      <c r="H808" s="146">
        <f t="shared" si="13"/>
        <v>0</v>
      </c>
    </row>
    <row r="809" spans="2:8" hidden="1" x14ac:dyDescent="0.25">
      <c r="B809" s="90">
        <f>Gradesheet!A837</f>
        <v>12</v>
      </c>
      <c r="C809" s="91">
        <f>(Gradesheet!B837)</f>
        <v>0</v>
      </c>
      <c r="D809" s="92">
        <f>IF(Outline!$C$14&gt;0,Gradesheet!AD837,Gradesheet!AK837)</f>
        <v>0</v>
      </c>
      <c r="E809" s="145">
        <f>IF(Outline!$C$14&gt;0,Gradesheet!L837,Gradesheet!AR837)</f>
        <v>0</v>
      </c>
      <c r="F809" s="145">
        <f>IF(Outline!$C$14&gt;0,Gradesheet!AZ837,"NA")</f>
        <v>0</v>
      </c>
      <c r="G809" s="145">
        <f>IF(Outline!$C$14&gt;0,Gradesheet!U807,Gradesheet!AY807)</f>
        <v>0</v>
      </c>
      <c r="H809" s="146">
        <f t="shared" si="13"/>
        <v>0</v>
      </c>
    </row>
    <row r="810" spans="2:8" hidden="1" x14ac:dyDescent="0.25">
      <c r="B810" s="90">
        <f>Gradesheet!A838</f>
        <v>13</v>
      </c>
      <c r="C810" s="91">
        <f>(Gradesheet!B838)</f>
        <v>0</v>
      </c>
      <c r="D810" s="92">
        <f>IF(Outline!$C$14&gt;0,Gradesheet!AD838,Gradesheet!AK838)</f>
        <v>0</v>
      </c>
      <c r="E810" s="145">
        <f>IF(Outline!$C$14&gt;0,Gradesheet!L838,Gradesheet!AR838)</f>
        <v>0</v>
      </c>
      <c r="F810" s="145">
        <f>IF(Outline!$C$14&gt;0,Gradesheet!AZ838,"NA")</f>
        <v>0</v>
      </c>
      <c r="G810" s="145">
        <f>IF(Outline!$C$14&gt;0,Gradesheet!U808,Gradesheet!AY808)</f>
        <v>0</v>
      </c>
      <c r="H810" s="146">
        <f t="shared" si="13"/>
        <v>0</v>
      </c>
    </row>
    <row r="811" spans="2:8" hidden="1" x14ac:dyDescent="0.25">
      <c r="B811" s="90">
        <f>Gradesheet!A839</f>
        <v>14</v>
      </c>
      <c r="C811" s="91">
        <f>(Gradesheet!B839)</f>
        <v>0</v>
      </c>
      <c r="D811" s="92">
        <f>IF(Outline!$C$14&gt;0,Gradesheet!AD839,Gradesheet!AK839)</f>
        <v>0</v>
      </c>
      <c r="E811" s="145">
        <f>IF(Outline!$C$14&gt;0,Gradesheet!L839,Gradesheet!AR839)</f>
        <v>0</v>
      </c>
      <c r="F811" s="145">
        <f>IF(Outline!$C$14&gt;0,Gradesheet!AZ839,"NA")</f>
        <v>0</v>
      </c>
      <c r="G811" s="145">
        <f>IF(Outline!$C$14&gt;0,Gradesheet!U809,Gradesheet!AY809)</f>
        <v>0</v>
      </c>
      <c r="H811" s="146">
        <f t="shared" si="13"/>
        <v>0</v>
      </c>
    </row>
    <row r="812" spans="2:8" hidden="1" x14ac:dyDescent="0.25">
      <c r="B812" s="90">
        <f>Gradesheet!A840</f>
        <v>15</v>
      </c>
      <c r="C812" s="91">
        <f>(Gradesheet!B840)</f>
        <v>0</v>
      </c>
      <c r="D812" s="92">
        <f>IF(Outline!$C$14&gt;0,Gradesheet!AD840,Gradesheet!AK840)</f>
        <v>0</v>
      </c>
      <c r="E812" s="145">
        <f>IF(Outline!$C$14&gt;0,Gradesheet!L840,Gradesheet!AR840)</f>
        <v>0</v>
      </c>
      <c r="F812" s="145">
        <f>IF(Outline!$C$14&gt;0,Gradesheet!AZ840,"NA")</f>
        <v>0</v>
      </c>
      <c r="G812" s="145">
        <f>IF(Outline!$C$14&gt;0,Gradesheet!U810,Gradesheet!AY810)</f>
        <v>0</v>
      </c>
      <c r="H812" s="146">
        <f t="shared" si="13"/>
        <v>0</v>
      </c>
    </row>
    <row r="813" spans="2:8" hidden="1" x14ac:dyDescent="0.25">
      <c r="B813" s="90">
        <f>Gradesheet!A841</f>
        <v>16</v>
      </c>
      <c r="C813" s="91">
        <f>(Gradesheet!B841)</f>
        <v>0</v>
      </c>
      <c r="D813" s="92">
        <f>IF(Outline!$C$14&gt;0,Gradesheet!AD841,Gradesheet!AK841)</f>
        <v>0</v>
      </c>
      <c r="E813" s="145">
        <f>IF(Outline!$C$14&gt;0,Gradesheet!L841,Gradesheet!AR841)</f>
        <v>0</v>
      </c>
      <c r="F813" s="145">
        <f>IF(Outline!$C$14&gt;0,Gradesheet!AZ841,"NA")</f>
        <v>0</v>
      </c>
      <c r="G813" s="145">
        <f>IF(Outline!$C$14&gt;0,Gradesheet!U811,Gradesheet!AY811)</f>
        <v>0</v>
      </c>
      <c r="H813" s="146">
        <f t="shared" si="13"/>
        <v>0</v>
      </c>
    </row>
    <row r="814" spans="2:8" hidden="1" x14ac:dyDescent="0.25">
      <c r="B814" s="90">
        <f>Gradesheet!A842</f>
        <v>17</v>
      </c>
      <c r="C814" s="91">
        <f>(Gradesheet!B842)</f>
        <v>0</v>
      </c>
      <c r="D814" s="92">
        <f>IF(Outline!$C$14&gt;0,Gradesheet!AD842,Gradesheet!AK842)</f>
        <v>0</v>
      </c>
      <c r="E814" s="145">
        <f>IF(Outline!$C$14&gt;0,Gradesheet!L842,Gradesheet!AR842)</f>
        <v>0</v>
      </c>
      <c r="F814" s="145">
        <f>IF(Outline!$C$14&gt;0,Gradesheet!AZ842,"NA")</f>
        <v>0</v>
      </c>
      <c r="G814" s="145">
        <f>IF(Outline!$C$14&gt;0,Gradesheet!U812,Gradesheet!AY812)</f>
        <v>0</v>
      </c>
      <c r="H814" s="146">
        <f t="shared" si="13"/>
        <v>0</v>
      </c>
    </row>
    <row r="815" spans="2:8" hidden="1" x14ac:dyDescent="0.25">
      <c r="B815" s="90">
        <f>Gradesheet!A843</f>
        <v>18</v>
      </c>
      <c r="C815" s="91">
        <f>(Gradesheet!B843)</f>
        <v>0</v>
      </c>
      <c r="D815" s="92">
        <f>IF(Outline!$C$14&gt;0,Gradesheet!AD843,Gradesheet!AK843)</f>
        <v>0</v>
      </c>
      <c r="E815" s="145">
        <f>IF(Outline!$C$14&gt;0,Gradesheet!L843,Gradesheet!AR843)</f>
        <v>0</v>
      </c>
      <c r="F815" s="145">
        <f>IF(Outline!$C$14&gt;0,Gradesheet!AZ843,"NA")</f>
        <v>0</v>
      </c>
      <c r="G815" s="145">
        <f>IF(Outline!$C$14&gt;0,Gradesheet!U813,Gradesheet!AY813)</f>
        <v>0</v>
      </c>
      <c r="H815" s="146">
        <f t="shared" si="13"/>
        <v>0</v>
      </c>
    </row>
    <row r="816" spans="2:8" hidden="1" x14ac:dyDescent="0.25">
      <c r="B816" s="90">
        <f>Gradesheet!A844</f>
        <v>19</v>
      </c>
      <c r="C816" s="91">
        <f>(Gradesheet!B844)</f>
        <v>0</v>
      </c>
      <c r="D816" s="92">
        <f>IF(Outline!$C$14&gt;0,Gradesheet!AD844,Gradesheet!AK844)</f>
        <v>0</v>
      </c>
      <c r="E816" s="145">
        <f>IF(Outline!$C$14&gt;0,Gradesheet!L844,Gradesheet!AR844)</f>
        <v>0</v>
      </c>
      <c r="F816" s="145">
        <f>IF(Outline!$C$14&gt;0,Gradesheet!AZ844,"NA")</f>
        <v>0</v>
      </c>
      <c r="G816" s="145">
        <f>IF(Outline!$C$14&gt;0,Gradesheet!U814,Gradesheet!AY814)</f>
        <v>0</v>
      </c>
      <c r="H816" s="146">
        <f t="shared" si="13"/>
        <v>0</v>
      </c>
    </row>
    <row r="817" spans="2:8" hidden="1" x14ac:dyDescent="0.25">
      <c r="B817" s="90">
        <f>Gradesheet!A845</f>
        <v>20</v>
      </c>
      <c r="C817" s="91">
        <f>(Gradesheet!B845)</f>
        <v>0</v>
      </c>
      <c r="D817" s="92">
        <f>IF(Outline!$C$14&gt;0,Gradesheet!AD845,Gradesheet!AK845)</f>
        <v>0</v>
      </c>
      <c r="E817" s="145">
        <f>IF(Outline!$C$14&gt;0,Gradesheet!L845,Gradesheet!AR845)</f>
        <v>0</v>
      </c>
      <c r="F817" s="145">
        <f>IF(Outline!$C$14&gt;0,Gradesheet!AZ845,"NA")</f>
        <v>0</v>
      </c>
      <c r="G817" s="145">
        <f>IF(Outline!$C$14&gt;0,Gradesheet!U815,Gradesheet!AY815)</f>
        <v>0</v>
      </c>
      <c r="H817" s="146">
        <f t="shared" si="13"/>
        <v>0</v>
      </c>
    </row>
    <row r="818" spans="2:8" hidden="1" x14ac:dyDescent="0.25">
      <c r="B818" s="90">
        <f>Gradesheet!A846</f>
        <v>21</v>
      </c>
      <c r="C818" s="91">
        <f>(Gradesheet!B846)</f>
        <v>0</v>
      </c>
      <c r="D818" s="92">
        <f>IF(Outline!$C$14&gt;0,Gradesheet!AD846,Gradesheet!AK846)</f>
        <v>0</v>
      </c>
      <c r="E818" s="145">
        <f>IF(Outline!$C$14&gt;0,Gradesheet!L846,Gradesheet!AR846)</f>
        <v>0</v>
      </c>
      <c r="F818" s="145">
        <f>IF(Outline!$C$14&gt;0,Gradesheet!AZ846,"NA")</f>
        <v>0</v>
      </c>
      <c r="G818" s="145">
        <f>IF(Outline!$C$14&gt;0,Gradesheet!U816,Gradesheet!AY816)</f>
        <v>0</v>
      </c>
      <c r="H818" s="146">
        <f t="shared" si="13"/>
        <v>0</v>
      </c>
    </row>
    <row r="819" spans="2:8" hidden="1" x14ac:dyDescent="0.25">
      <c r="B819" s="90">
        <f>Gradesheet!A847</f>
        <v>22</v>
      </c>
      <c r="C819" s="91">
        <f>(Gradesheet!B847)</f>
        <v>0</v>
      </c>
      <c r="D819" s="92">
        <f>IF(Outline!$C$14&gt;0,Gradesheet!AD847,Gradesheet!AK847)</f>
        <v>0</v>
      </c>
      <c r="E819" s="145">
        <f>IF(Outline!$C$14&gt;0,Gradesheet!L847,Gradesheet!AR847)</f>
        <v>0</v>
      </c>
      <c r="F819" s="145">
        <f>IF(Outline!$C$14&gt;0,Gradesheet!AZ847,"NA")</f>
        <v>0</v>
      </c>
      <c r="G819" s="145">
        <f>IF(Outline!$C$14&gt;0,Gradesheet!U817,Gradesheet!AY817)</f>
        <v>0</v>
      </c>
      <c r="H819" s="146">
        <f t="shared" si="13"/>
        <v>0</v>
      </c>
    </row>
    <row r="820" spans="2:8" hidden="1" x14ac:dyDescent="0.25">
      <c r="B820" s="90">
        <f>Gradesheet!A848</f>
        <v>23</v>
      </c>
      <c r="C820" s="91">
        <f>(Gradesheet!B848)</f>
        <v>0</v>
      </c>
      <c r="D820" s="92">
        <f>IF(Outline!$C$14&gt;0,Gradesheet!AD848,Gradesheet!AK848)</f>
        <v>0</v>
      </c>
      <c r="E820" s="145">
        <f>IF(Outline!$C$14&gt;0,Gradesheet!L848,Gradesheet!AR848)</f>
        <v>0</v>
      </c>
      <c r="F820" s="145">
        <f>IF(Outline!$C$14&gt;0,Gradesheet!AZ848,"NA")</f>
        <v>0</v>
      </c>
      <c r="G820" s="145">
        <f>IF(Outline!$C$14&gt;0,Gradesheet!U818,Gradesheet!AY818)</f>
        <v>0</v>
      </c>
      <c r="H820" s="146">
        <f t="shared" si="13"/>
        <v>0</v>
      </c>
    </row>
    <row r="821" spans="2:8" hidden="1" x14ac:dyDescent="0.25">
      <c r="B821" s="90">
        <f>Gradesheet!A849</f>
        <v>24</v>
      </c>
      <c r="C821" s="91">
        <f>(Gradesheet!B849)</f>
        <v>0</v>
      </c>
      <c r="D821" s="92">
        <f>IF(Outline!$C$14&gt;0,Gradesheet!AD849,Gradesheet!AK849)</f>
        <v>0</v>
      </c>
      <c r="E821" s="145">
        <f>IF(Outline!$C$14&gt;0,Gradesheet!L849,Gradesheet!AR849)</f>
        <v>0</v>
      </c>
      <c r="F821" s="145">
        <f>IF(Outline!$C$14&gt;0,Gradesheet!AZ849,"NA")</f>
        <v>0</v>
      </c>
      <c r="G821" s="145">
        <f>IF(Outline!$C$14&gt;0,Gradesheet!U819,Gradesheet!AY819)</f>
        <v>0</v>
      </c>
      <c r="H821" s="146">
        <f t="shared" si="13"/>
        <v>0</v>
      </c>
    </row>
    <row r="822" spans="2:8" hidden="1" x14ac:dyDescent="0.25">
      <c r="B822" s="90">
        <f>Gradesheet!A850</f>
        <v>25</v>
      </c>
      <c r="C822" s="91">
        <f>(Gradesheet!B850)</f>
        <v>0</v>
      </c>
      <c r="D822" s="92">
        <f>IF(Outline!$C$14&gt;0,Gradesheet!AD850,Gradesheet!AK850)</f>
        <v>0</v>
      </c>
      <c r="E822" s="145">
        <f>IF(Outline!$C$14&gt;0,Gradesheet!L850,Gradesheet!AR850)</f>
        <v>0</v>
      </c>
      <c r="F822" s="145">
        <f>IF(Outline!$C$14&gt;0,Gradesheet!AZ850,"NA")</f>
        <v>0</v>
      </c>
      <c r="G822" s="145">
        <f>IF(Outline!$C$14&gt;0,Gradesheet!U820,Gradesheet!AY820)</f>
        <v>0</v>
      </c>
      <c r="H822" s="146">
        <f t="shared" si="13"/>
        <v>0</v>
      </c>
    </row>
    <row r="823" spans="2:8" hidden="1" x14ac:dyDescent="0.25">
      <c r="B823" s="90">
        <f>Gradesheet!A851</f>
        <v>26</v>
      </c>
      <c r="C823" s="91">
        <f>(Gradesheet!B851)</f>
        <v>0</v>
      </c>
      <c r="D823" s="92">
        <f>IF(Outline!$C$14&gt;0,Gradesheet!AD851,Gradesheet!AK851)</f>
        <v>0</v>
      </c>
      <c r="E823" s="145">
        <f>IF(Outline!$C$14&gt;0,Gradesheet!L851,Gradesheet!AR851)</f>
        <v>0</v>
      </c>
      <c r="F823" s="145">
        <f>IF(Outline!$C$14&gt;0,Gradesheet!AZ851,"NA")</f>
        <v>0</v>
      </c>
      <c r="G823" s="145">
        <f>IF(Outline!$C$14&gt;0,Gradesheet!U821,Gradesheet!AY821)</f>
        <v>0</v>
      </c>
      <c r="H823" s="146">
        <f t="shared" si="13"/>
        <v>0</v>
      </c>
    </row>
    <row r="824" spans="2:8" hidden="1" x14ac:dyDescent="0.25">
      <c r="B824" s="90">
        <f>Gradesheet!A852</f>
        <v>27</v>
      </c>
      <c r="C824" s="91">
        <f>(Gradesheet!B852)</f>
        <v>0</v>
      </c>
      <c r="D824" s="92">
        <f>IF(Outline!$C$14&gt;0,Gradesheet!AD852,Gradesheet!AK852)</f>
        <v>0</v>
      </c>
      <c r="E824" s="145">
        <f>IF(Outline!$C$14&gt;0,Gradesheet!L852,Gradesheet!AR852)</f>
        <v>0</v>
      </c>
      <c r="F824" s="145">
        <f>IF(Outline!$C$14&gt;0,Gradesheet!AZ852,"NA")</f>
        <v>0</v>
      </c>
      <c r="G824" s="145">
        <f>IF(Outline!$C$14&gt;0,Gradesheet!U822,Gradesheet!AY822)</f>
        <v>0</v>
      </c>
      <c r="H824" s="146">
        <f t="shared" si="13"/>
        <v>0</v>
      </c>
    </row>
    <row r="825" spans="2:8" hidden="1" x14ac:dyDescent="0.25">
      <c r="B825" s="90">
        <f>Gradesheet!A853</f>
        <v>28</v>
      </c>
      <c r="C825" s="91">
        <f>(Gradesheet!B853)</f>
        <v>0</v>
      </c>
      <c r="D825" s="92">
        <f>IF(Outline!$C$14&gt;0,Gradesheet!AD853,Gradesheet!AK853)</f>
        <v>0</v>
      </c>
      <c r="E825" s="145">
        <f>IF(Outline!$C$14&gt;0,Gradesheet!L853,Gradesheet!AR853)</f>
        <v>0</v>
      </c>
      <c r="F825" s="145">
        <f>IF(Outline!$C$14&gt;0,Gradesheet!AZ853,"NA")</f>
        <v>0</v>
      </c>
      <c r="G825" s="145">
        <f>IF(Outline!$C$14&gt;0,Gradesheet!U823,Gradesheet!AY823)</f>
        <v>0</v>
      </c>
      <c r="H825" s="146">
        <f t="shared" si="13"/>
        <v>0</v>
      </c>
    </row>
    <row r="826" spans="2:8" hidden="1" x14ac:dyDescent="0.25">
      <c r="B826" s="90">
        <f>Gradesheet!A854</f>
        <v>29</v>
      </c>
      <c r="C826" s="91">
        <f>(Gradesheet!B854)</f>
        <v>0</v>
      </c>
      <c r="D826" s="92">
        <f>IF(Outline!$C$14&gt;0,Gradesheet!AD854,Gradesheet!AK854)</f>
        <v>0</v>
      </c>
      <c r="E826" s="145">
        <f>IF(Outline!$C$14&gt;0,Gradesheet!L854,Gradesheet!AR854)</f>
        <v>0</v>
      </c>
      <c r="F826" s="145">
        <f>IF(Outline!$C$14&gt;0,Gradesheet!AZ854,"NA")</f>
        <v>0</v>
      </c>
      <c r="G826" s="145">
        <f>IF(Outline!$C$14&gt;0,Gradesheet!U824,Gradesheet!AY824)</f>
        <v>0</v>
      </c>
      <c r="H826" s="146">
        <f t="shared" si="13"/>
        <v>0</v>
      </c>
    </row>
    <row r="827" spans="2:8" hidden="1" x14ac:dyDescent="0.25">
      <c r="B827" s="90">
        <f>Gradesheet!A855</f>
        <v>30</v>
      </c>
      <c r="C827" s="91">
        <f>(Gradesheet!B855)</f>
        <v>0</v>
      </c>
      <c r="D827" s="92">
        <f>IF(Outline!$C$14&gt;0,Gradesheet!AD855,Gradesheet!AK855)</f>
        <v>0</v>
      </c>
      <c r="E827" s="145">
        <f>IF(Outline!$C$14&gt;0,Gradesheet!L855,Gradesheet!AR855)</f>
        <v>0</v>
      </c>
      <c r="F827" s="145">
        <f>IF(Outline!$C$14&gt;0,Gradesheet!AZ855,"NA")</f>
        <v>0</v>
      </c>
      <c r="G827" s="145">
        <f>IF(Outline!$C$14&gt;0,Gradesheet!U825,Gradesheet!AY825)</f>
        <v>0</v>
      </c>
      <c r="H827" s="146">
        <f t="shared" si="13"/>
        <v>0</v>
      </c>
    </row>
    <row r="828" spans="2:8" hidden="1" x14ac:dyDescent="0.25">
      <c r="B828" s="90">
        <f>Gradesheet!A856</f>
        <v>31</v>
      </c>
      <c r="C828" s="91">
        <f>(Gradesheet!B856)</f>
        <v>0</v>
      </c>
      <c r="D828" s="92">
        <f>IF(Outline!$C$14&gt;0,Gradesheet!AD856,Gradesheet!AK856)</f>
        <v>0</v>
      </c>
      <c r="E828" s="145">
        <f>IF(Outline!$C$14&gt;0,Gradesheet!L856,Gradesheet!AR856)</f>
        <v>0</v>
      </c>
      <c r="F828" s="145">
        <f>IF(Outline!$C$14&gt;0,Gradesheet!AZ856,"NA")</f>
        <v>0</v>
      </c>
      <c r="G828" s="145">
        <f>IF(Outline!$C$14&gt;0,Gradesheet!U826,Gradesheet!AY826)</f>
        <v>0</v>
      </c>
      <c r="H828" s="146">
        <f t="shared" si="13"/>
        <v>0</v>
      </c>
    </row>
    <row r="829" spans="2:8" hidden="1" x14ac:dyDescent="0.25">
      <c r="B829" s="90">
        <f>Gradesheet!A857</f>
        <v>32</v>
      </c>
      <c r="C829" s="91">
        <f>(Gradesheet!B857)</f>
        <v>0</v>
      </c>
      <c r="D829" s="92">
        <f>IF(Outline!$C$14&gt;0,Gradesheet!AD857,Gradesheet!AK857)</f>
        <v>0</v>
      </c>
      <c r="E829" s="145">
        <f>IF(Outline!$C$14&gt;0,Gradesheet!L857,Gradesheet!AR857)</f>
        <v>0</v>
      </c>
      <c r="F829" s="145">
        <f>IF(Outline!$C$14&gt;0,Gradesheet!AZ857,"NA")</f>
        <v>0</v>
      </c>
      <c r="G829" s="145">
        <f>IF(Outline!$C$14&gt;0,Gradesheet!U827,Gradesheet!AY827)</f>
        <v>0</v>
      </c>
      <c r="H829" s="146">
        <f t="shared" si="13"/>
        <v>0</v>
      </c>
    </row>
    <row r="830" spans="2:8" hidden="1" x14ac:dyDescent="0.25">
      <c r="B830" s="90">
        <f>Gradesheet!A858</f>
        <v>33</v>
      </c>
      <c r="C830" s="91">
        <f>(Gradesheet!B858)</f>
        <v>0</v>
      </c>
      <c r="D830" s="92">
        <f>IF(Outline!$C$14&gt;0,Gradesheet!AD858,Gradesheet!AK858)</f>
        <v>0</v>
      </c>
      <c r="E830" s="145">
        <f>IF(Outline!$C$14&gt;0,Gradesheet!L858,Gradesheet!AR858)</f>
        <v>0</v>
      </c>
      <c r="F830" s="145">
        <f>IF(Outline!$C$14&gt;0,Gradesheet!AZ858,"NA")</f>
        <v>0</v>
      </c>
      <c r="G830" s="145">
        <f>IF(Outline!$C$14&gt;0,Gradesheet!U828,Gradesheet!AY828)</f>
        <v>0</v>
      </c>
      <c r="H830" s="146">
        <f t="shared" si="13"/>
        <v>0</v>
      </c>
    </row>
    <row r="831" spans="2:8" hidden="1" x14ac:dyDescent="0.25">
      <c r="B831" s="90">
        <f>Gradesheet!A859</f>
        <v>34</v>
      </c>
      <c r="C831" s="91">
        <f>(Gradesheet!B859)</f>
        <v>0</v>
      </c>
      <c r="D831" s="92">
        <f>IF(Outline!$C$14&gt;0,Gradesheet!AD859,Gradesheet!AK859)</f>
        <v>0</v>
      </c>
      <c r="E831" s="145">
        <f>IF(Outline!$C$14&gt;0,Gradesheet!L859,Gradesheet!AR859)</f>
        <v>0</v>
      </c>
      <c r="F831" s="145">
        <f>IF(Outline!$C$14&gt;0,Gradesheet!AZ859,"NA")</f>
        <v>0</v>
      </c>
      <c r="G831" s="145">
        <f>IF(Outline!$C$14&gt;0,Gradesheet!U829,Gradesheet!AY829)</f>
        <v>0</v>
      </c>
      <c r="H831" s="146">
        <f t="shared" si="13"/>
        <v>0</v>
      </c>
    </row>
    <row r="832" spans="2:8" hidden="1" x14ac:dyDescent="0.25">
      <c r="B832" s="90">
        <f>Gradesheet!A860</f>
        <v>35</v>
      </c>
      <c r="C832" s="91">
        <f>(Gradesheet!B860)</f>
        <v>0</v>
      </c>
      <c r="D832" s="92">
        <f>IF(Outline!$C$14&gt;0,Gradesheet!AD860,Gradesheet!AK860)</f>
        <v>0</v>
      </c>
      <c r="E832" s="145">
        <f>IF(Outline!$C$14&gt;0,Gradesheet!L860,Gradesheet!AR860)</f>
        <v>0</v>
      </c>
      <c r="F832" s="145">
        <f>IF(Outline!$C$14&gt;0,Gradesheet!AZ860,"NA")</f>
        <v>0</v>
      </c>
      <c r="G832" s="145">
        <f>IF(Outline!$C$14&gt;0,Gradesheet!U830,Gradesheet!AY830)</f>
        <v>0</v>
      </c>
      <c r="H832" s="146">
        <f t="shared" si="13"/>
        <v>0</v>
      </c>
    </row>
    <row r="833" spans="2:8" hidden="1" x14ac:dyDescent="0.25">
      <c r="B833" s="90">
        <f>Gradesheet!A861</f>
        <v>36</v>
      </c>
      <c r="C833" s="91">
        <f>(Gradesheet!B861)</f>
        <v>0</v>
      </c>
      <c r="D833" s="92">
        <f>IF(Outline!$C$14&gt;0,Gradesheet!AD861,Gradesheet!AK861)</f>
        <v>0</v>
      </c>
      <c r="E833" s="145">
        <f>IF(Outline!$C$14&gt;0,Gradesheet!L861,Gradesheet!AR861)</f>
        <v>0</v>
      </c>
      <c r="F833" s="145">
        <f>IF(Outline!$C$14&gt;0,Gradesheet!AZ861,"NA")</f>
        <v>0</v>
      </c>
      <c r="G833" s="145">
        <f>IF(Outline!$C$14&gt;0,Gradesheet!U831,Gradesheet!AY831)</f>
        <v>0</v>
      </c>
      <c r="H833" s="146">
        <f t="shared" si="13"/>
        <v>0</v>
      </c>
    </row>
    <row r="834" spans="2:8" hidden="1" x14ac:dyDescent="0.25">
      <c r="B834" s="90">
        <f>Gradesheet!A862</f>
        <v>37</v>
      </c>
      <c r="C834" s="91">
        <f>(Gradesheet!B862)</f>
        <v>0</v>
      </c>
      <c r="D834" s="92">
        <f>IF(Outline!$C$14&gt;0,Gradesheet!AD862,Gradesheet!AK862)</f>
        <v>0</v>
      </c>
      <c r="E834" s="145">
        <f>IF(Outline!$C$14&gt;0,Gradesheet!L862,Gradesheet!AR862)</f>
        <v>0</v>
      </c>
      <c r="F834" s="145">
        <f>IF(Outline!$C$14&gt;0,Gradesheet!AZ862,"NA")</f>
        <v>0</v>
      </c>
      <c r="G834" s="145">
        <f>IF(Outline!$C$14&gt;0,Gradesheet!U832,Gradesheet!AY832)</f>
        <v>0</v>
      </c>
      <c r="H834" s="146">
        <f t="shared" si="13"/>
        <v>0</v>
      </c>
    </row>
    <row r="835" spans="2:8" hidden="1" x14ac:dyDescent="0.25">
      <c r="B835" s="90">
        <f>Gradesheet!A863</f>
        <v>38</v>
      </c>
      <c r="C835" s="91">
        <f>(Gradesheet!B863)</f>
        <v>0</v>
      </c>
      <c r="D835" s="92">
        <f>IF(Outline!$C$14&gt;0,Gradesheet!AD863,Gradesheet!AK863)</f>
        <v>0</v>
      </c>
      <c r="E835" s="145">
        <f>IF(Outline!$C$14&gt;0,Gradesheet!L863,Gradesheet!AR863)</f>
        <v>0</v>
      </c>
      <c r="F835" s="145">
        <f>IF(Outline!$C$14&gt;0,Gradesheet!AZ863,"NA")</f>
        <v>0</v>
      </c>
      <c r="G835" s="145">
        <f>IF(Outline!$C$14&gt;0,Gradesheet!U833,Gradesheet!AY833)</f>
        <v>0</v>
      </c>
      <c r="H835" s="146">
        <f t="shared" si="13"/>
        <v>0</v>
      </c>
    </row>
    <row r="836" spans="2:8" hidden="1" x14ac:dyDescent="0.25">
      <c r="B836" s="90">
        <f>Gradesheet!A864</f>
        <v>39</v>
      </c>
      <c r="C836" s="91">
        <f>(Gradesheet!B864)</f>
        <v>0</v>
      </c>
      <c r="D836" s="92">
        <f>IF(Outline!$C$14&gt;0,Gradesheet!AD864,Gradesheet!AK864)</f>
        <v>0</v>
      </c>
      <c r="E836" s="145">
        <f>IF(Outline!$C$14&gt;0,Gradesheet!L864,Gradesheet!AR864)</f>
        <v>0</v>
      </c>
      <c r="F836" s="145">
        <f>IF(Outline!$C$14&gt;0,Gradesheet!AZ864,"NA")</f>
        <v>0</v>
      </c>
      <c r="G836" s="145">
        <f>IF(Outline!$C$14&gt;0,Gradesheet!U834,Gradesheet!AY834)</f>
        <v>0</v>
      </c>
      <c r="H836" s="146">
        <f t="shared" si="13"/>
        <v>0</v>
      </c>
    </row>
    <row r="837" spans="2:8" hidden="1" x14ac:dyDescent="0.25">
      <c r="B837" s="90">
        <f>Gradesheet!A865</f>
        <v>40</v>
      </c>
      <c r="C837" s="91">
        <f>(Gradesheet!B865)</f>
        <v>0</v>
      </c>
      <c r="D837" s="92">
        <f>IF(Outline!$C$14&gt;0,Gradesheet!AD865,Gradesheet!AK865)</f>
        <v>0</v>
      </c>
      <c r="E837" s="145">
        <f>IF(Outline!$C$14&gt;0,Gradesheet!L865,Gradesheet!AR865)</f>
        <v>0</v>
      </c>
      <c r="F837" s="145">
        <f>IF(Outline!$C$14&gt;0,Gradesheet!AZ865,"NA")</f>
        <v>0</v>
      </c>
      <c r="G837" s="145">
        <f>IF(Outline!$C$14&gt;0,Gradesheet!U835,Gradesheet!AY835)</f>
        <v>0</v>
      </c>
      <c r="H837" s="146">
        <f t="shared" si="13"/>
        <v>0</v>
      </c>
    </row>
    <row r="838" spans="2:8" hidden="1" x14ac:dyDescent="0.25">
      <c r="B838" s="90">
        <f>Gradesheet!A866</f>
        <v>41</v>
      </c>
      <c r="C838" s="91">
        <f>(Gradesheet!B866)</f>
        <v>0</v>
      </c>
      <c r="D838" s="92">
        <f>IF(Outline!$C$14&gt;0,Gradesheet!AD866,Gradesheet!AK866)</f>
        <v>0</v>
      </c>
      <c r="E838" s="145">
        <f>IF(Outline!$C$14&gt;0,Gradesheet!L866,Gradesheet!AR866)</f>
        <v>0</v>
      </c>
      <c r="F838" s="145">
        <f>IF(Outline!$C$14&gt;0,Gradesheet!AZ866,"NA")</f>
        <v>0</v>
      </c>
      <c r="G838" s="145">
        <f>IF(Outline!$C$14&gt;0,Gradesheet!U836,Gradesheet!AY836)</f>
        <v>0</v>
      </c>
      <c r="H838" s="146">
        <f t="shared" si="13"/>
        <v>0</v>
      </c>
    </row>
    <row r="839" spans="2:8" hidden="1" x14ac:dyDescent="0.25">
      <c r="B839" s="90">
        <f>Gradesheet!A867</f>
        <v>42</v>
      </c>
      <c r="C839" s="91">
        <f>(Gradesheet!B867)</f>
        <v>0</v>
      </c>
      <c r="D839" s="92">
        <f>IF(Outline!$C$14&gt;0,Gradesheet!AD867,Gradesheet!AK867)</f>
        <v>0</v>
      </c>
      <c r="E839" s="145">
        <f>IF(Outline!$C$14&gt;0,Gradesheet!L867,Gradesheet!AR867)</f>
        <v>0</v>
      </c>
      <c r="F839" s="145">
        <f>IF(Outline!$C$14&gt;0,Gradesheet!AZ867,"NA")</f>
        <v>0</v>
      </c>
      <c r="G839" s="145">
        <f>IF(Outline!$C$14&gt;0,Gradesheet!U837,Gradesheet!AY837)</f>
        <v>0</v>
      </c>
      <c r="H839" s="146">
        <f t="shared" ref="H839:H902" si="14">SUM(D839:G839)</f>
        <v>0</v>
      </c>
    </row>
    <row r="840" spans="2:8" hidden="1" x14ac:dyDescent="0.25">
      <c r="B840" s="90">
        <f>Gradesheet!A868</f>
        <v>0</v>
      </c>
      <c r="C840" s="91">
        <f>(Gradesheet!B868)</f>
        <v>0</v>
      </c>
      <c r="D840" s="92">
        <f>IF(Outline!$C$14&gt;0,Gradesheet!AD868,Gradesheet!AK868)</f>
        <v>0</v>
      </c>
      <c r="E840" s="145">
        <f>IF(Outline!$C$14&gt;0,Gradesheet!L868,Gradesheet!AR868)</f>
        <v>0</v>
      </c>
      <c r="F840" s="145">
        <f>IF(Outline!$C$14&gt;0,Gradesheet!AZ868,"NA")</f>
        <v>0</v>
      </c>
      <c r="G840" s="145">
        <f>IF(Outline!$C$14&gt;0,Gradesheet!U838,Gradesheet!AY838)</f>
        <v>0</v>
      </c>
      <c r="H840" s="146">
        <f t="shared" si="14"/>
        <v>0</v>
      </c>
    </row>
    <row r="841" spans="2:8" hidden="1" x14ac:dyDescent="0.25">
      <c r="B841" s="90">
        <f>Gradesheet!A869</f>
        <v>1</v>
      </c>
      <c r="C841" s="91">
        <f>(Gradesheet!B869)</f>
        <v>0</v>
      </c>
      <c r="D841" s="92">
        <f>IF(Outline!$C$14&gt;0,Gradesheet!AD869,Gradesheet!AK869)</f>
        <v>0</v>
      </c>
      <c r="E841" s="145">
        <f>IF(Outline!$C$14&gt;0,Gradesheet!L869,Gradesheet!AR869)</f>
        <v>0</v>
      </c>
      <c r="F841" s="145">
        <f>IF(Outline!$C$14&gt;0,Gradesheet!AZ869,"NA")</f>
        <v>0</v>
      </c>
      <c r="G841" s="145">
        <f>IF(Outline!$C$14&gt;0,Gradesheet!U839,Gradesheet!AY839)</f>
        <v>0</v>
      </c>
      <c r="H841" s="146">
        <f t="shared" si="14"/>
        <v>0</v>
      </c>
    </row>
    <row r="842" spans="2:8" hidden="1" x14ac:dyDescent="0.25">
      <c r="B842" s="90">
        <f>Gradesheet!A870</f>
        <v>2</v>
      </c>
      <c r="C842" s="91">
        <f>(Gradesheet!B870)</f>
        <v>0</v>
      </c>
      <c r="D842" s="92">
        <f>IF(Outline!$C$14&gt;0,Gradesheet!AD870,Gradesheet!AK870)</f>
        <v>0</v>
      </c>
      <c r="E842" s="145">
        <f>IF(Outline!$C$14&gt;0,Gradesheet!L870,Gradesheet!AR870)</f>
        <v>0</v>
      </c>
      <c r="F842" s="145">
        <f>IF(Outline!$C$14&gt;0,Gradesheet!AZ870,"NA")</f>
        <v>0</v>
      </c>
      <c r="G842" s="145">
        <f>IF(Outline!$C$14&gt;0,Gradesheet!U840,Gradesheet!AY840)</f>
        <v>0</v>
      </c>
      <c r="H842" s="146">
        <f t="shared" si="14"/>
        <v>0</v>
      </c>
    </row>
    <row r="843" spans="2:8" hidden="1" x14ac:dyDescent="0.25">
      <c r="B843" s="90">
        <f>Gradesheet!A871</f>
        <v>3</v>
      </c>
      <c r="C843" s="91">
        <f>(Gradesheet!B871)</f>
        <v>0</v>
      </c>
      <c r="D843" s="92">
        <f>IF(Outline!$C$14&gt;0,Gradesheet!AD871,Gradesheet!AK871)</f>
        <v>0</v>
      </c>
      <c r="E843" s="145">
        <f>IF(Outline!$C$14&gt;0,Gradesheet!L871,Gradesheet!AR871)</f>
        <v>0</v>
      </c>
      <c r="F843" s="145">
        <f>IF(Outline!$C$14&gt;0,Gradesheet!AZ871,"NA")</f>
        <v>0</v>
      </c>
      <c r="G843" s="145">
        <f>IF(Outline!$C$14&gt;0,Gradesheet!U841,Gradesheet!AY841)</f>
        <v>0</v>
      </c>
      <c r="H843" s="146">
        <f t="shared" si="14"/>
        <v>0</v>
      </c>
    </row>
    <row r="844" spans="2:8" hidden="1" x14ac:dyDescent="0.25">
      <c r="B844" s="90">
        <f>Gradesheet!A872</f>
        <v>4</v>
      </c>
      <c r="C844" s="91">
        <f>(Gradesheet!B872)</f>
        <v>0</v>
      </c>
      <c r="D844" s="92">
        <f>IF(Outline!$C$14&gt;0,Gradesheet!AD872,Gradesheet!AK872)</f>
        <v>0</v>
      </c>
      <c r="E844" s="145">
        <f>IF(Outline!$C$14&gt;0,Gradesheet!L872,Gradesheet!AR872)</f>
        <v>0</v>
      </c>
      <c r="F844" s="145">
        <f>IF(Outline!$C$14&gt;0,Gradesheet!AZ872,"NA")</f>
        <v>0</v>
      </c>
      <c r="G844" s="145">
        <f>IF(Outline!$C$14&gt;0,Gradesheet!U842,Gradesheet!AY842)</f>
        <v>0</v>
      </c>
      <c r="H844" s="146">
        <f t="shared" si="14"/>
        <v>0</v>
      </c>
    </row>
    <row r="845" spans="2:8" hidden="1" x14ac:dyDescent="0.25">
      <c r="B845" s="90">
        <f>Gradesheet!A873</f>
        <v>5</v>
      </c>
      <c r="C845" s="91">
        <f>(Gradesheet!B873)</f>
        <v>0</v>
      </c>
      <c r="D845" s="92">
        <f>IF(Outline!$C$14&gt;0,Gradesheet!AD873,Gradesheet!AK873)</f>
        <v>0</v>
      </c>
      <c r="E845" s="145">
        <f>IF(Outline!$C$14&gt;0,Gradesheet!L873,Gradesheet!AR873)</f>
        <v>0</v>
      </c>
      <c r="F845" s="145">
        <f>IF(Outline!$C$14&gt;0,Gradesheet!AZ873,"NA")</f>
        <v>0</v>
      </c>
      <c r="G845" s="145">
        <f>IF(Outline!$C$14&gt;0,Gradesheet!U843,Gradesheet!AY843)</f>
        <v>0</v>
      </c>
      <c r="H845" s="146">
        <f t="shared" si="14"/>
        <v>0</v>
      </c>
    </row>
    <row r="846" spans="2:8" hidden="1" x14ac:dyDescent="0.25">
      <c r="B846" s="90">
        <f>Gradesheet!A874</f>
        <v>6</v>
      </c>
      <c r="C846" s="91">
        <f>(Gradesheet!B874)</f>
        <v>0</v>
      </c>
      <c r="D846" s="92">
        <f>IF(Outline!$C$14&gt;0,Gradesheet!AD874,Gradesheet!AK874)</f>
        <v>0</v>
      </c>
      <c r="E846" s="145">
        <f>IF(Outline!$C$14&gt;0,Gradesheet!L874,Gradesheet!AR874)</f>
        <v>0</v>
      </c>
      <c r="F846" s="145">
        <f>IF(Outline!$C$14&gt;0,Gradesheet!AZ874,"NA")</f>
        <v>0</v>
      </c>
      <c r="G846" s="145">
        <f>IF(Outline!$C$14&gt;0,Gradesheet!U844,Gradesheet!AY844)</f>
        <v>0</v>
      </c>
      <c r="H846" s="146">
        <f t="shared" si="14"/>
        <v>0</v>
      </c>
    </row>
    <row r="847" spans="2:8" hidden="1" x14ac:dyDescent="0.25">
      <c r="B847" s="90">
        <f>Gradesheet!A875</f>
        <v>7</v>
      </c>
      <c r="C847" s="91">
        <f>(Gradesheet!B875)</f>
        <v>0</v>
      </c>
      <c r="D847" s="92">
        <f>IF(Outline!$C$14&gt;0,Gradesheet!AD875,Gradesheet!AK875)</f>
        <v>0</v>
      </c>
      <c r="E847" s="145">
        <f>IF(Outline!$C$14&gt;0,Gradesheet!L875,Gradesheet!AR875)</f>
        <v>0</v>
      </c>
      <c r="F847" s="145">
        <f>IF(Outline!$C$14&gt;0,Gradesheet!AZ875,"NA")</f>
        <v>0</v>
      </c>
      <c r="G847" s="145">
        <f>IF(Outline!$C$14&gt;0,Gradesheet!U845,Gradesheet!AY845)</f>
        <v>0</v>
      </c>
      <c r="H847" s="146">
        <f t="shared" si="14"/>
        <v>0</v>
      </c>
    </row>
    <row r="848" spans="2:8" hidden="1" x14ac:dyDescent="0.25">
      <c r="B848" s="90">
        <f>Gradesheet!A876</f>
        <v>8</v>
      </c>
      <c r="C848" s="91">
        <f>(Gradesheet!B876)</f>
        <v>0</v>
      </c>
      <c r="D848" s="92">
        <f>IF(Outline!$C$14&gt;0,Gradesheet!AD876,Gradesheet!AK876)</f>
        <v>0</v>
      </c>
      <c r="E848" s="145">
        <f>IF(Outline!$C$14&gt;0,Gradesheet!L876,Gradesheet!AR876)</f>
        <v>0</v>
      </c>
      <c r="F848" s="145">
        <f>IF(Outline!$C$14&gt;0,Gradesheet!AZ876,"NA")</f>
        <v>0</v>
      </c>
      <c r="G848" s="145">
        <f>IF(Outline!$C$14&gt;0,Gradesheet!U846,Gradesheet!AY846)</f>
        <v>0</v>
      </c>
      <c r="H848" s="146">
        <f t="shared" si="14"/>
        <v>0</v>
      </c>
    </row>
    <row r="849" spans="2:8" hidden="1" x14ac:dyDescent="0.25">
      <c r="B849" s="90">
        <f>Gradesheet!A877</f>
        <v>9</v>
      </c>
      <c r="C849" s="91">
        <f>(Gradesheet!B877)</f>
        <v>0</v>
      </c>
      <c r="D849" s="92">
        <f>IF(Outline!$C$14&gt;0,Gradesheet!AD877,Gradesheet!AK877)</f>
        <v>0</v>
      </c>
      <c r="E849" s="145">
        <f>IF(Outline!$C$14&gt;0,Gradesheet!L877,Gradesheet!AR877)</f>
        <v>0</v>
      </c>
      <c r="F849" s="145">
        <f>IF(Outline!$C$14&gt;0,Gradesheet!AZ877,"NA")</f>
        <v>0</v>
      </c>
      <c r="G849" s="145">
        <f>IF(Outline!$C$14&gt;0,Gradesheet!U847,Gradesheet!AY847)</f>
        <v>0</v>
      </c>
      <c r="H849" s="146">
        <f t="shared" si="14"/>
        <v>0</v>
      </c>
    </row>
    <row r="850" spans="2:8" hidden="1" x14ac:dyDescent="0.25">
      <c r="B850" s="90">
        <f>Gradesheet!A878</f>
        <v>10</v>
      </c>
      <c r="C850" s="91">
        <f>(Gradesheet!B878)</f>
        <v>0</v>
      </c>
      <c r="D850" s="92">
        <f>IF(Outline!$C$14&gt;0,Gradesheet!AD878,Gradesheet!AK878)</f>
        <v>0</v>
      </c>
      <c r="E850" s="145">
        <f>IF(Outline!$C$14&gt;0,Gradesheet!L878,Gradesheet!AR878)</f>
        <v>0</v>
      </c>
      <c r="F850" s="145">
        <f>IF(Outline!$C$14&gt;0,Gradesheet!AZ878,"NA")</f>
        <v>0</v>
      </c>
      <c r="G850" s="145">
        <f>IF(Outline!$C$14&gt;0,Gradesheet!U848,Gradesheet!AY848)</f>
        <v>0</v>
      </c>
      <c r="H850" s="146">
        <f t="shared" si="14"/>
        <v>0</v>
      </c>
    </row>
    <row r="851" spans="2:8" hidden="1" x14ac:dyDescent="0.25">
      <c r="B851" s="90">
        <f>Gradesheet!A879</f>
        <v>11</v>
      </c>
      <c r="C851" s="91">
        <f>(Gradesheet!B879)</f>
        <v>0</v>
      </c>
      <c r="D851" s="92">
        <f>IF(Outline!$C$14&gt;0,Gradesheet!AD879,Gradesheet!AK879)</f>
        <v>0</v>
      </c>
      <c r="E851" s="145">
        <f>IF(Outline!$C$14&gt;0,Gradesheet!L879,Gradesheet!AR879)</f>
        <v>0</v>
      </c>
      <c r="F851" s="145">
        <f>IF(Outline!$C$14&gt;0,Gradesheet!AZ879,"NA")</f>
        <v>0</v>
      </c>
      <c r="G851" s="145">
        <f>IF(Outline!$C$14&gt;0,Gradesheet!U849,Gradesheet!AY849)</f>
        <v>0</v>
      </c>
      <c r="H851" s="146">
        <f t="shared" si="14"/>
        <v>0</v>
      </c>
    </row>
    <row r="852" spans="2:8" hidden="1" x14ac:dyDescent="0.25">
      <c r="B852" s="90">
        <f>Gradesheet!A880</f>
        <v>12</v>
      </c>
      <c r="C852" s="91">
        <f>(Gradesheet!B880)</f>
        <v>0</v>
      </c>
      <c r="D852" s="92">
        <f>IF(Outline!$C$14&gt;0,Gradesheet!AD880,Gradesheet!AK880)</f>
        <v>0</v>
      </c>
      <c r="E852" s="145">
        <f>IF(Outline!$C$14&gt;0,Gradesheet!L880,Gradesheet!AR880)</f>
        <v>0</v>
      </c>
      <c r="F852" s="145">
        <f>IF(Outline!$C$14&gt;0,Gradesheet!AZ880,"NA")</f>
        <v>0</v>
      </c>
      <c r="G852" s="145">
        <f>IF(Outline!$C$14&gt;0,Gradesheet!U850,Gradesheet!AY850)</f>
        <v>0</v>
      </c>
      <c r="H852" s="146">
        <f t="shared" si="14"/>
        <v>0</v>
      </c>
    </row>
    <row r="853" spans="2:8" hidden="1" x14ac:dyDescent="0.25">
      <c r="B853" s="90">
        <f>Gradesheet!A881</f>
        <v>13</v>
      </c>
      <c r="C853" s="91">
        <f>(Gradesheet!B881)</f>
        <v>0</v>
      </c>
      <c r="D853" s="92">
        <f>IF(Outline!$C$14&gt;0,Gradesheet!AD881,Gradesheet!AK881)</f>
        <v>0</v>
      </c>
      <c r="E853" s="145">
        <f>IF(Outline!$C$14&gt;0,Gradesheet!L881,Gradesheet!AR881)</f>
        <v>0</v>
      </c>
      <c r="F853" s="145">
        <f>IF(Outline!$C$14&gt;0,Gradesheet!AZ881,"NA")</f>
        <v>0</v>
      </c>
      <c r="G853" s="145">
        <f>IF(Outline!$C$14&gt;0,Gradesheet!U851,Gradesheet!AY851)</f>
        <v>0</v>
      </c>
      <c r="H853" s="146">
        <f t="shared" si="14"/>
        <v>0</v>
      </c>
    </row>
    <row r="854" spans="2:8" hidden="1" x14ac:dyDescent="0.25">
      <c r="B854" s="90">
        <f>Gradesheet!A882</f>
        <v>14</v>
      </c>
      <c r="C854" s="91">
        <f>(Gradesheet!B882)</f>
        <v>0</v>
      </c>
      <c r="D854" s="92">
        <f>IF(Outline!$C$14&gt;0,Gradesheet!AD882,Gradesheet!AK882)</f>
        <v>0</v>
      </c>
      <c r="E854" s="145">
        <f>IF(Outline!$C$14&gt;0,Gradesheet!L882,Gradesheet!AR882)</f>
        <v>0</v>
      </c>
      <c r="F854" s="145">
        <f>IF(Outline!$C$14&gt;0,Gradesheet!AZ882,"NA")</f>
        <v>0</v>
      </c>
      <c r="G854" s="145">
        <f>IF(Outline!$C$14&gt;0,Gradesheet!U852,Gradesheet!AY852)</f>
        <v>0</v>
      </c>
      <c r="H854" s="146">
        <f t="shared" si="14"/>
        <v>0</v>
      </c>
    </row>
    <row r="855" spans="2:8" hidden="1" x14ac:dyDescent="0.25">
      <c r="B855" s="90">
        <f>Gradesheet!A883</f>
        <v>15</v>
      </c>
      <c r="C855" s="91">
        <f>(Gradesheet!B883)</f>
        <v>0</v>
      </c>
      <c r="D855" s="92">
        <f>IF(Outline!$C$14&gt;0,Gradesheet!AD883,Gradesheet!AK883)</f>
        <v>0</v>
      </c>
      <c r="E855" s="145">
        <f>IF(Outline!$C$14&gt;0,Gradesheet!L883,Gradesheet!AR883)</f>
        <v>0</v>
      </c>
      <c r="F855" s="145">
        <f>IF(Outline!$C$14&gt;0,Gradesheet!AZ883,"NA")</f>
        <v>0</v>
      </c>
      <c r="G855" s="145">
        <f>IF(Outline!$C$14&gt;0,Gradesheet!U853,Gradesheet!AY853)</f>
        <v>0</v>
      </c>
      <c r="H855" s="146">
        <f t="shared" si="14"/>
        <v>0</v>
      </c>
    </row>
    <row r="856" spans="2:8" hidden="1" x14ac:dyDescent="0.25">
      <c r="B856" s="90">
        <f>Gradesheet!A884</f>
        <v>16</v>
      </c>
      <c r="C856" s="91">
        <f>(Gradesheet!B884)</f>
        <v>0</v>
      </c>
      <c r="D856" s="92">
        <f>IF(Outline!$C$14&gt;0,Gradesheet!AD884,Gradesheet!AK884)</f>
        <v>0</v>
      </c>
      <c r="E856" s="145">
        <f>IF(Outline!$C$14&gt;0,Gradesheet!L884,Gradesheet!AR884)</f>
        <v>0</v>
      </c>
      <c r="F856" s="145">
        <f>IF(Outline!$C$14&gt;0,Gradesheet!AZ884,"NA")</f>
        <v>0</v>
      </c>
      <c r="G856" s="145">
        <f>IF(Outline!$C$14&gt;0,Gradesheet!U854,Gradesheet!AY854)</f>
        <v>0</v>
      </c>
      <c r="H856" s="146">
        <f t="shared" si="14"/>
        <v>0</v>
      </c>
    </row>
    <row r="857" spans="2:8" hidden="1" x14ac:dyDescent="0.25">
      <c r="B857" s="90">
        <f>Gradesheet!A885</f>
        <v>17</v>
      </c>
      <c r="C857" s="91">
        <f>(Gradesheet!B885)</f>
        <v>0</v>
      </c>
      <c r="D857" s="92">
        <f>IF(Outline!$C$14&gt;0,Gradesheet!AD885,Gradesheet!AK885)</f>
        <v>0</v>
      </c>
      <c r="E857" s="145">
        <f>IF(Outline!$C$14&gt;0,Gradesheet!L885,Gradesheet!AR885)</f>
        <v>0</v>
      </c>
      <c r="F857" s="145">
        <f>IF(Outline!$C$14&gt;0,Gradesheet!AZ885,"NA")</f>
        <v>0</v>
      </c>
      <c r="G857" s="145">
        <f>IF(Outline!$C$14&gt;0,Gradesheet!U855,Gradesheet!AY855)</f>
        <v>0</v>
      </c>
      <c r="H857" s="146">
        <f t="shared" si="14"/>
        <v>0</v>
      </c>
    </row>
    <row r="858" spans="2:8" hidden="1" x14ac:dyDescent="0.25">
      <c r="B858" s="90">
        <f>Gradesheet!A886</f>
        <v>18</v>
      </c>
      <c r="C858" s="91">
        <f>(Gradesheet!B886)</f>
        <v>0</v>
      </c>
      <c r="D858" s="92">
        <f>IF(Outline!$C$14&gt;0,Gradesheet!AD886,Gradesheet!AK886)</f>
        <v>0</v>
      </c>
      <c r="E858" s="145">
        <f>IF(Outline!$C$14&gt;0,Gradesheet!L886,Gradesheet!AR886)</f>
        <v>0</v>
      </c>
      <c r="F858" s="145">
        <f>IF(Outline!$C$14&gt;0,Gradesheet!AZ886,"NA")</f>
        <v>0</v>
      </c>
      <c r="G858" s="145">
        <f>IF(Outline!$C$14&gt;0,Gradesheet!U856,Gradesheet!AY856)</f>
        <v>0</v>
      </c>
      <c r="H858" s="146">
        <f t="shared" si="14"/>
        <v>0</v>
      </c>
    </row>
    <row r="859" spans="2:8" hidden="1" x14ac:dyDescent="0.25">
      <c r="B859" s="90">
        <f>Gradesheet!A887</f>
        <v>19</v>
      </c>
      <c r="C859" s="91">
        <f>(Gradesheet!B887)</f>
        <v>0</v>
      </c>
      <c r="D859" s="92">
        <f>IF(Outline!$C$14&gt;0,Gradesheet!AD887,Gradesheet!AK887)</f>
        <v>0</v>
      </c>
      <c r="E859" s="145">
        <f>IF(Outline!$C$14&gt;0,Gradesheet!L887,Gradesheet!AR887)</f>
        <v>0</v>
      </c>
      <c r="F859" s="145">
        <f>IF(Outline!$C$14&gt;0,Gradesheet!AZ887,"NA")</f>
        <v>0</v>
      </c>
      <c r="G859" s="145">
        <f>IF(Outline!$C$14&gt;0,Gradesheet!U857,Gradesheet!AY857)</f>
        <v>0</v>
      </c>
      <c r="H859" s="146">
        <f t="shared" si="14"/>
        <v>0</v>
      </c>
    </row>
    <row r="860" spans="2:8" hidden="1" x14ac:dyDescent="0.25">
      <c r="B860" s="90">
        <f>Gradesheet!A888</f>
        <v>20</v>
      </c>
      <c r="C860" s="91">
        <f>(Gradesheet!B888)</f>
        <v>0</v>
      </c>
      <c r="D860" s="92">
        <f>IF(Outline!$C$14&gt;0,Gradesheet!AD888,Gradesheet!AK888)</f>
        <v>0</v>
      </c>
      <c r="E860" s="145">
        <f>IF(Outline!$C$14&gt;0,Gradesheet!L888,Gradesheet!AR888)</f>
        <v>0</v>
      </c>
      <c r="F860" s="145">
        <f>IF(Outline!$C$14&gt;0,Gradesheet!AZ888,"NA")</f>
        <v>0</v>
      </c>
      <c r="G860" s="145">
        <f>IF(Outline!$C$14&gt;0,Gradesheet!U858,Gradesheet!AY858)</f>
        <v>0</v>
      </c>
      <c r="H860" s="146">
        <f t="shared" si="14"/>
        <v>0</v>
      </c>
    </row>
    <row r="861" spans="2:8" hidden="1" x14ac:dyDescent="0.25">
      <c r="B861" s="90">
        <f>Gradesheet!A889</f>
        <v>21</v>
      </c>
      <c r="C861" s="91">
        <f>(Gradesheet!B889)</f>
        <v>0</v>
      </c>
      <c r="D861" s="92">
        <f>IF(Outline!$C$14&gt;0,Gradesheet!AD889,Gradesheet!AK889)</f>
        <v>0</v>
      </c>
      <c r="E861" s="145">
        <f>IF(Outline!$C$14&gt;0,Gradesheet!L889,Gradesheet!AR889)</f>
        <v>0</v>
      </c>
      <c r="F861" s="145">
        <f>IF(Outline!$C$14&gt;0,Gradesheet!AZ889,"NA")</f>
        <v>0</v>
      </c>
      <c r="G861" s="145">
        <f>IF(Outline!$C$14&gt;0,Gradesheet!U859,Gradesheet!AY859)</f>
        <v>0</v>
      </c>
      <c r="H861" s="146">
        <f t="shared" si="14"/>
        <v>0</v>
      </c>
    </row>
    <row r="862" spans="2:8" hidden="1" x14ac:dyDescent="0.25">
      <c r="B862" s="90">
        <f>Gradesheet!A890</f>
        <v>22</v>
      </c>
      <c r="C862" s="91">
        <f>(Gradesheet!B890)</f>
        <v>0</v>
      </c>
      <c r="D862" s="92">
        <f>IF(Outline!$C$14&gt;0,Gradesheet!AD890,Gradesheet!AK890)</f>
        <v>0</v>
      </c>
      <c r="E862" s="145">
        <f>IF(Outline!$C$14&gt;0,Gradesheet!L890,Gradesheet!AR890)</f>
        <v>0</v>
      </c>
      <c r="F862" s="145">
        <f>IF(Outline!$C$14&gt;0,Gradesheet!AZ890,"NA")</f>
        <v>0</v>
      </c>
      <c r="G862" s="145">
        <f>IF(Outline!$C$14&gt;0,Gradesheet!U860,Gradesheet!AY860)</f>
        <v>0</v>
      </c>
      <c r="H862" s="146">
        <f t="shared" si="14"/>
        <v>0</v>
      </c>
    </row>
    <row r="863" spans="2:8" hidden="1" x14ac:dyDescent="0.25">
      <c r="B863" s="90">
        <f>Gradesheet!A891</f>
        <v>23</v>
      </c>
      <c r="C863" s="91">
        <f>(Gradesheet!B891)</f>
        <v>0</v>
      </c>
      <c r="D863" s="92">
        <f>IF(Outline!$C$14&gt;0,Gradesheet!AD891,Gradesheet!AK891)</f>
        <v>0</v>
      </c>
      <c r="E863" s="145">
        <f>IF(Outline!$C$14&gt;0,Gradesheet!L891,Gradesheet!AR891)</f>
        <v>0</v>
      </c>
      <c r="F863" s="145">
        <f>IF(Outline!$C$14&gt;0,Gradesheet!AZ891,"NA")</f>
        <v>0</v>
      </c>
      <c r="G863" s="145">
        <f>IF(Outline!$C$14&gt;0,Gradesheet!U861,Gradesheet!AY861)</f>
        <v>0</v>
      </c>
      <c r="H863" s="146">
        <f t="shared" si="14"/>
        <v>0</v>
      </c>
    </row>
    <row r="864" spans="2:8" hidden="1" x14ac:dyDescent="0.25">
      <c r="B864" s="90">
        <f>Gradesheet!A892</f>
        <v>24</v>
      </c>
      <c r="C864" s="91">
        <f>(Gradesheet!B892)</f>
        <v>0</v>
      </c>
      <c r="D864" s="92">
        <f>IF(Outline!$C$14&gt;0,Gradesheet!AD892,Gradesheet!AK892)</f>
        <v>0</v>
      </c>
      <c r="E864" s="145">
        <f>IF(Outline!$C$14&gt;0,Gradesheet!L892,Gradesheet!AR892)</f>
        <v>0</v>
      </c>
      <c r="F864" s="145">
        <f>IF(Outline!$C$14&gt;0,Gradesheet!AZ892,"NA")</f>
        <v>0</v>
      </c>
      <c r="G864" s="145">
        <f>IF(Outline!$C$14&gt;0,Gradesheet!U862,Gradesheet!AY862)</f>
        <v>0</v>
      </c>
      <c r="H864" s="146">
        <f t="shared" si="14"/>
        <v>0</v>
      </c>
    </row>
    <row r="865" spans="2:8" hidden="1" x14ac:dyDescent="0.25">
      <c r="B865" s="90">
        <f>Gradesheet!A893</f>
        <v>25</v>
      </c>
      <c r="C865" s="91">
        <f>(Gradesheet!B893)</f>
        <v>0</v>
      </c>
      <c r="D865" s="92">
        <f>IF(Outline!$C$14&gt;0,Gradesheet!AD893,Gradesheet!AK893)</f>
        <v>0</v>
      </c>
      <c r="E865" s="145">
        <f>IF(Outline!$C$14&gt;0,Gradesheet!L893,Gradesheet!AR893)</f>
        <v>0</v>
      </c>
      <c r="F865" s="145">
        <f>IF(Outline!$C$14&gt;0,Gradesheet!AZ893,"NA")</f>
        <v>0</v>
      </c>
      <c r="G865" s="145">
        <f>IF(Outline!$C$14&gt;0,Gradesheet!U863,Gradesheet!AY863)</f>
        <v>0</v>
      </c>
      <c r="H865" s="146">
        <f t="shared" si="14"/>
        <v>0</v>
      </c>
    </row>
    <row r="866" spans="2:8" hidden="1" x14ac:dyDescent="0.25">
      <c r="B866" s="90">
        <f>Gradesheet!A894</f>
        <v>26</v>
      </c>
      <c r="C866" s="91">
        <f>(Gradesheet!B894)</f>
        <v>0</v>
      </c>
      <c r="D866" s="92">
        <f>IF(Outline!$C$14&gt;0,Gradesheet!AD894,Gradesheet!AK894)</f>
        <v>0</v>
      </c>
      <c r="E866" s="145">
        <f>IF(Outline!$C$14&gt;0,Gradesheet!L894,Gradesheet!AR894)</f>
        <v>0</v>
      </c>
      <c r="F866" s="145">
        <f>IF(Outline!$C$14&gt;0,Gradesheet!AZ894,"NA")</f>
        <v>0</v>
      </c>
      <c r="G866" s="145">
        <f>IF(Outline!$C$14&gt;0,Gradesheet!U864,Gradesheet!AY864)</f>
        <v>0</v>
      </c>
      <c r="H866" s="146">
        <f t="shared" si="14"/>
        <v>0</v>
      </c>
    </row>
    <row r="867" spans="2:8" hidden="1" x14ac:dyDescent="0.25">
      <c r="B867" s="90">
        <f>Gradesheet!A895</f>
        <v>27</v>
      </c>
      <c r="C867" s="91">
        <f>(Gradesheet!B895)</f>
        <v>0</v>
      </c>
      <c r="D867" s="92">
        <f>IF(Outline!$C$14&gt;0,Gradesheet!AD895,Gradesheet!AK895)</f>
        <v>0</v>
      </c>
      <c r="E867" s="145">
        <f>IF(Outline!$C$14&gt;0,Gradesheet!L895,Gradesheet!AR895)</f>
        <v>0</v>
      </c>
      <c r="F867" s="145">
        <f>IF(Outline!$C$14&gt;0,Gradesheet!AZ895,"NA")</f>
        <v>0</v>
      </c>
      <c r="G867" s="145">
        <f>IF(Outline!$C$14&gt;0,Gradesheet!U865,Gradesheet!AY865)</f>
        <v>0</v>
      </c>
      <c r="H867" s="146">
        <f t="shared" si="14"/>
        <v>0</v>
      </c>
    </row>
    <row r="868" spans="2:8" hidden="1" x14ac:dyDescent="0.25">
      <c r="B868" s="90">
        <f>Gradesheet!A896</f>
        <v>28</v>
      </c>
      <c r="C868" s="91">
        <f>(Gradesheet!B896)</f>
        <v>0</v>
      </c>
      <c r="D868" s="92">
        <f>IF(Outline!$C$14&gt;0,Gradesheet!AD896,Gradesheet!AK896)</f>
        <v>0</v>
      </c>
      <c r="E868" s="145">
        <f>IF(Outline!$C$14&gt;0,Gradesheet!L896,Gradesheet!AR896)</f>
        <v>0</v>
      </c>
      <c r="F868" s="145">
        <f>IF(Outline!$C$14&gt;0,Gradesheet!AZ896,"NA")</f>
        <v>0</v>
      </c>
      <c r="G868" s="145">
        <f>IF(Outline!$C$14&gt;0,Gradesheet!U866,Gradesheet!AY866)</f>
        <v>0</v>
      </c>
      <c r="H868" s="146">
        <f t="shared" si="14"/>
        <v>0</v>
      </c>
    </row>
    <row r="869" spans="2:8" hidden="1" x14ac:dyDescent="0.25">
      <c r="B869" s="90">
        <f>Gradesheet!A897</f>
        <v>29</v>
      </c>
      <c r="C869" s="91">
        <f>(Gradesheet!B897)</f>
        <v>0</v>
      </c>
      <c r="D869" s="92">
        <f>IF(Outline!$C$14&gt;0,Gradesheet!AD897,Gradesheet!AK897)</f>
        <v>0</v>
      </c>
      <c r="E869" s="145">
        <f>IF(Outline!$C$14&gt;0,Gradesheet!L897,Gradesheet!AR897)</f>
        <v>0</v>
      </c>
      <c r="F869" s="145">
        <f>IF(Outline!$C$14&gt;0,Gradesheet!AZ897,"NA")</f>
        <v>0</v>
      </c>
      <c r="G869" s="145">
        <f>IF(Outline!$C$14&gt;0,Gradesheet!U867,Gradesheet!AY867)</f>
        <v>0</v>
      </c>
      <c r="H869" s="146">
        <f t="shared" si="14"/>
        <v>0</v>
      </c>
    </row>
    <row r="870" spans="2:8" hidden="1" x14ac:dyDescent="0.25">
      <c r="B870" s="90">
        <f>Gradesheet!A898</f>
        <v>30</v>
      </c>
      <c r="C870" s="91">
        <f>(Gradesheet!B898)</f>
        <v>0</v>
      </c>
      <c r="D870" s="92">
        <f>IF(Outline!$C$14&gt;0,Gradesheet!AD898,Gradesheet!AK898)</f>
        <v>0</v>
      </c>
      <c r="E870" s="145">
        <f>IF(Outline!$C$14&gt;0,Gradesheet!L898,Gradesheet!AR898)</f>
        <v>0</v>
      </c>
      <c r="F870" s="145">
        <f>IF(Outline!$C$14&gt;0,Gradesheet!AZ898,"NA")</f>
        <v>0</v>
      </c>
      <c r="G870" s="145">
        <f>IF(Outline!$C$14&gt;0,Gradesheet!U868,Gradesheet!AY868)</f>
        <v>0</v>
      </c>
      <c r="H870" s="146">
        <f t="shared" si="14"/>
        <v>0</v>
      </c>
    </row>
    <row r="871" spans="2:8" hidden="1" x14ac:dyDescent="0.25">
      <c r="B871" s="90">
        <f>Gradesheet!A899</f>
        <v>31</v>
      </c>
      <c r="C871" s="91">
        <f>(Gradesheet!B899)</f>
        <v>0</v>
      </c>
      <c r="D871" s="92">
        <f>IF(Outline!$C$14&gt;0,Gradesheet!AD899,Gradesheet!AK899)</f>
        <v>0</v>
      </c>
      <c r="E871" s="145">
        <f>IF(Outline!$C$14&gt;0,Gradesheet!L899,Gradesheet!AR899)</f>
        <v>0</v>
      </c>
      <c r="F871" s="145">
        <f>IF(Outline!$C$14&gt;0,Gradesheet!AZ899,"NA")</f>
        <v>0</v>
      </c>
      <c r="G871" s="145">
        <f>IF(Outline!$C$14&gt;0,Gradesheet!U869,Gradesheet!AY869)</f>
        <v>0</v>
      </c>
      <c r="H871" s="146">
        <f t="shared" si="14"/>
        <v>0</v>
      </c>
    </row>
    <row r="872" spans="2:8" hidden="1" x14ac:dyDescent="0.25">
      <c r="B872" s="90">
        <f>Gradesheet!A900</f>
        <v>32</v>
      </c>
      <c r="C872" s="91">
        <f>(Gradesheet!B900)</f>
        <v>0</v>
      </c>
      <c r="D872" s="92">
        <f>IF(Outline!$C$14&gt;0,Gradesheet!AD900,Gradesheet!AK900)</f>
        <v>0</v>
      </c>
      <c r="E872" s="145">
        <f>IF(Outline!$C$14&gt;0,Gradesheet!L900,Gradesheet!AR900)</f>
        <v>0</v>
      </c>
      <c r="F872" s="145">
        <f>IF(Outline!$C$14&gt;0,Gradesheet!AZ900,"NA")</f>
        <v>0</v>
      </c>
      <c r="G872" s="145">
        <f>IF(Outline!$C$14&gt;0,Gradesheet!U870,Gradesheet!AY870)</f>
        <v>0</v>
      </c>
      <c r="H872" s="146">
        <f t="shared" si="14"/>
        <v>0</v>
      </c>
    </row>
    <row r="873" spans="2:8" hidden="1" x14ac:dyDescent="0.25">
      <c r="B873" s="90">
        <f>Gradesheet!A901</f>
        <v>33</v>
      </c>
      <c r="C873" s="91">
        <f>(Gradesheet!B901)</f>
        <v>0</v>
      </c>
      <c r="D873" s="92">
        <f>IF(Outline!$C$14&gt;0,Gradesheet!AD901,Gradesheet!AK901)</f>
        <v>0</v>
      </c>
      <c r="E873" s="145">
        <f>IF(Outline!$C$14&gt;0,Gradesheet!L901,Gradesheet!AR901)</f>
        <v>0</v>
      </c>
      <c r="F873" s="145">
        <f>IF(Outline!$C$14&gt;0,Gradesheet!AZ901,"NA")</f>
        <v>0</v>
      </c>
      <c r="G873" s="145">
        <f>IF(Outline!$C$14&gt;0,Gradesheet!U871,Gradesheet!AY871)</f>
        <v>0</v>
      </c>
      <c r="H873" s="146">
        <f t="shared" si="14"/>
        <v>0</v>
      </c>
    </row>
    <row r="874" spans="2:8" hidden="1" x14ac:dyDescent="0.25">
      <c r="B874" s="90">
        <f>Gradesheet!A902</f>
        <v>34</v>
      </c>
      <c r="C874" s="91">
        <f>(Gradesheet!B902)</f>
        <v>0</v>
      </c>
      <c r="D874" s="92">
        <f>IF(Outline!$C$14&gt;0,Gradesheet!AD902,Gradesheet!AK902)</f>
        <v>0</v>
      </c>
      <c r="E874" s="145">
        <f>IF(Outline!$C$14&gt;0,Gradesheet!L902,Gradesheet!AR902)</f>
        <v>0</v>
      </c>
      <c r="F874" s="145">
        <f>IF(Outline!$C$14&gt;0,Gradesheet!AZ902,"NA")</f>
        <v>0</v>
      </c>
      <c r="G874" s="145">
        <f>IF(Outline!$C$14&gt;0,Gradesheet!U872,Gradesheet!AY872)</f>
        <v>0</v>
      </c>
      <c r="H874" s="146">
        <f t="shared" si="14"/>
        <v>0</v>
      </c>
    </row>
    <row r="875" spans="2:8" hidden="1" x14ac:dyDescent="0.25">
      <c r="B875" s="90">
        <f>Gradesheet!A903</f>
        <v>35</v>
      </c>
      <c r="C875" s="91">
        <f>(Gradesheet!B903)</f>
        <v>0</v>
      </c>
      <c r="D875" s="92">
        <f>IF(Outline!$C$14&gt;0,Gradesheet!AD903,Gradesheet!AK903)</f>
        <v>0</v>
      </c>
      <c r="E875" s="145">
        <f>IF(Outline!$C$14&gt;0,Gradesheet!L903,Gradesheet!AR903)</f>
        <v>0</v>
      </c>
      <c r="F875" s="145">
        <f>IF(Outline!$C$14&gt;0,Gradesheet!AZ903,"NA")</f>
        <v>0</v>
      </c>
      <c r="G875" s="145">
        <f>IF(Outline!$C$14&gt;0,Gradesheet!U873,Gradesheet!AY873)</f>
        <v>0</v>
      </c>
      <c r="H875" s="146">
        <f t="shared" si="14"/>
        <v>0</v>
      </c>
    </row>
    <row r="876" spans="2:8" hidden="1" x14ac:dyDescent="0.25">
      <c r="B876" s="90">
        <f>Gradesheet!A904</f>
        <v>36</v>
      </c>
      <c r="C876" s="91">
        <f>(Gradesheet!B904)</f>
        <v>0</v>
      </c>
      <c r="D876" s="92">
        <f>IF(Outline!$C$14&gt;0,Gradesheet!AD904,Gradesheet!AK904)</f>
        <v>0</v>
      </c>
      <c r="E876" s="145">
        <f>IF(Outline!$C$14&gt;0,Gradesheet!L904,Gradesheet!AR904)</f>
        <v>0</v>
      </c>
      <c r="F876" s="145">
        <f>IF(Outline!$C$14&gt;0,Gradesheet!AZ904,"NA")</f>
        <v>0</v>
      </c>
      <c r="G876" s="145">
        <f>IF(Outline!$C$14&gt;0,Gradesheet!U874,Gradesheet!AY874)</f>
        <v>0</v>
      </c>
      <c r="H876" s="146">
        <f t="shared" si="14"/>
        <v>0</v>
      </c>
    </row>
    <row r="877" spans="2:8" hidden="1" x14ac:dyDescent="0.25">
      <c r="B877" s="90">
        <f>Gradesheet!A905</f>
        <v>37</v>
      </c>
      <c r="C877" s="91">
        <f>(Gradesheet!B905)</f>
        <v>0</v>
      </c>
      <c r="D877" s="92">
        <f>IF(Outline!$C$14&gt;0,Gradesheet!AD905,Gradesheet!AK905)</f>
        <v>0</v>
      </c>
      <c r="E877" s="145">
        <f>IF(Outline!$C$14&gt;0,Gradesheet!L905,Gradesheet!AR905)</f>
        <v>0</v>
      </c>
      <c r="F877" s="145">
        <f>IF(Outline!$C$14&gt;0,Gradesheet!AZ905,"NA")</f>
        <v>0</v>
      </c>
      <c r="G877" s="145">
        <f>IF(Outline!$C$14&gt;0,Gradesheet!U875,Gradesheet!AY875)</f>
        <v>0</v>
      </c>
      <c r="H877" s="146">
        <f t="shared" si="14"/>
        <v>0</v>
      </c>
    </row>
    <row r="878" spans="2:8" hidden="1" x14ac:dyDescent="0.25">
      <c r="B878" s="90">
        <f>Gradesheet!A906</f>
        <v>38</v>
      </c>
      <c r="C878" s="91">
        <f>(Gradesheet!B906)</f>
        <v>0</v>
      </c>
      <c r="D878" s="92">
        <f>IF(Outline!$C$14&gt;0,Gradesheet!AD906,Gradesheet!AK906)</f>
        <v>0</v>
      </c>
      <c r="E878" s="145">
        <f>IF(Outline!$C$14&gt;0,Gradesheet!L906,Gradesheet!AR906)</f>
        <v>0</v>
      </c>
      <c r="F878" s="145">
        <f>IF(Outline!$C$14&gt;0,Gradesheet!AZ906,"NA")</f>
        <v>0</v>
      </c>
      <c r="G878" s="145">
        <f>IF(Outline!$C$14&gt;0,Gradesheet!U876,Gradesheet!AY876)</f>
        <v>0</v>
      </c>
      <c r="H878" s="146">
        <f t="shared" si="14"/>
        <v>0</v>
      </c>
    </row>
    <row r="879" spans="2:8" hidden="1" x14ac:dyDescent="0.25">
      <c r="B879" s="90">
        <f>Gradesheet!A907</f>
        <v>39</v>
      </c>
      <c r="C879" s="91">
        <f>(Gradesheet!B907)</f>
        <v>0</v>
      </c>
      <c r="D879" s="92">
        <f>IF(Outline!$C$14&gt;0,Gradesheet!AD907,Gradesheet!AK907)</f>
        <v>0</v>
      </c>
      <c r="E879" s="145">
        <f>IF(Outline!$C$14&gt;0,Gradesheet!L907,Gradesheet!AR907)</f>
        <v>0</v>
      </c>
      <c r="F879" s="145">
        <f>IF(Outline!$C$14&gt;0,Gradesheet!AZ907,"NA")</f>
        <v>0</v>
      </c>
      <c r="G879" s="145">
        <f>IF(Outline!$C$14&gt;0,Gradesheet!U877,Gradesheet!AY877)</f>
        <v>0</v>
      </c>
      <c r="H879" s="146">
        <f t="shared" si="14"/>
        <v>0</v>
      </c>
    </row>
    <row r="880" spans="2:8" hidden="1" x14ac:dyDescent="0.25">
      <c r="B880" s="90">
        <f>Gradesheet!A908</f>
        <v>40</v>
      </c>
      <c r="C880" s="91">
        <f>(Gradesheet!B908)</f>
        <v>0</v>
      </c>
      <c r="D880" s="92">
        <f>IF(Outline!$C$14&gt;0,Gradesheet!AD908,Gradesheet!AK908)</f>
        <v>0</v>
      </c>
      <c r="E880" s="145">
        <f>IF(Outline!$C$14&gt;0,Gradesheet!L908,Gradesheet!AR908)</f>
        <v>0</v>
      </c>
      <c r="F880" s="145">
        <f>IF(Outline!$C$14&gt;0,Gradesheet!AZ908,"NA")</f>
        <v>0</v>
      </c>
      <c r="G880" s="145">
        <f>IF(Outline!$C$14&gt;0,Gradesheet!U878,Gradesheet!AY878)</f>
        <v>0</v>
      </c>
      <c r="H880" s="146">
        <f t="shared" si="14"/>
        <v>0</v>
      </c>
    </row>
    <row r="881" spans="2:8" hidden="1" x14ac:dyDescent="0.25">
      <c r="B881" s="90">
        <f>Gradesheet!A909</f>
        <v>41</v>
      </c>
      <c r="C881" s="91">
        <f>(Gradesheet!B909)</f>
        <v>0</v>
      </c>
      <c r="D881" s="92">
        <f>IF(Outline!$C$14&gt;0,Gradesheet!AD909,Gradesheet!AK909)</f>
        <v>0</v>
      </c>
      <c r="E881" s="145">
        <f>IF(Outline!$C$14&gt;0,Gradesheet!L909,Gradesheet!AR909)</f>
        <v>0</v>
      </c>
      <c r="F881" s="145">
        <f>IF(Outline!$C$14&gt;0,Gradesheet!AZ909,"NA")</f>
        <v>0</v>
      </c>
      <c r="G881" s="145">
        <f>IF(Outline!$C$14&gt;0,Gradesheet!U879,Gradesheet!AY879)</f>
        <v>0</v>
      </c>
      <c r="H881" s="146">
        <f t="shared" si="14"/>
        <v>0</v>
      </c>
    </row>
    <row r="882" spans="2:8" hidden="1" x14ac:dyDescent="0.25">
      <c r="B882" s="90">
        <f>Gradesheet!A910</f>
        <v>42</v>
      </c>
      <c r="C882" s="91">
        <f>(Gradesheet!B910)</f>
        <v>0</v>
      </c>
      <c r="D882" s="92">
        <f>IF(Outline!$C$14&gt;0,Gradesheet!AD910,Gradesheet!AK910)</f>
        <v>0</v>
      </c>
      <c r="E882" s="145">
        <f>IF(Outline!$C$14&gt;0,Gradesheet!L910,Gradesheet!AR910)</f>
        <v>0</v>
      </c>
      <c r="F882" s="145">
        <f>IF(Outline!$C$14&gt;0,Gradesheet!AZ910,"NA")</f>
        <v>0</v>
      </c>
      <c r="G882" s="145">
        <f>IF(Outline!$C$14&gt;0,Gradesheet!U880,Gradesheet!AY880)</f>
        <v>0</v>
      </c>
      <c r="H882" s="146">
        <f t="shared" si="14"/>
        <v>0</v>
      </c>
    </row>
    <row r="883" spans="2:8" hidden="1" x14ac:dyDescent="0.25">
      <c r="B883" s="90">
        <f>Gradesheet!A911</f>
        <v>0</v>
      </c>
      <c r="C883" s="91">
        <f>(Gradesheet!B911)</f>
        <v>0</v>
      </c>
      <c r="D883" s="92">
        <f>IF(Outline!$C$14&gt;0,Gradesheet!AD911,Gradesheet!AK911)</f>
        <v>0</v>
      </c>
      <c r="E883" s="145">
        <f>IF(Outline!$C$14&gt;0,Gradesheet!L911,Gradesheet!AR911)</f>
        <v>0</v>
      </c>
      <c r="F883" s="145">
        <f>IF(Outline!$C$14&gt;0,Gradesheet!AZ911,"NA")</f>
        <v>0</v>
      </c>
      <c r="G883" s="145">
        <f>IF(Outline!$C$14&gt;0,Gradesheet!U881,Gradesheet!AY881)</f>
        <v>0</v>
      </c>
      <c r="H883" s="146">
        <f t="shared" si="14"/>
        <v>0</v>
      </c>
    </row>
    <row r="884" spans="2:8" hidden="1" x14ac:dyDescent="0.25">
      <c r="B884" s="90">
        <f>Gradesheet!A912</f>
        <v>1</v>
      </c>
      <c r="C884" s="91">
        <f>(Gradesheet!B912)</f>
        <v>0</v>
      </c>
      <c r="D884" s="92">
        <f>IF(Outline!$C$14&gt;0,Gradesheet!AD912,Gradesheet!AK912)</f>
        <v>0</v>
      </c>
      <c r="E884" s="145">
        <f>IF(Outline!$C$14&gt;0,Gradesheet!L912,Gradesheet!AR912)</f>
        <v>0</v>
      </c>
      <c r="F884" s="145">
        <f>IF(Outline!$C$14&gt;0,Gradesheet!AZ912,"NA")</f>
        <v>0</v>
      </c>
      <c r="G884" s="145">
        <f>IF(Outline!$C$14&gt;0,Gradesheet!U882,Gradesheet!AY882)</f>
        <v>0</v>
      </c>
      <c r="H884" s="146">
        <f t="shared" si="14"/>
        <v>0</v>
      </c>
    </row>
    <row r="885" spans="2:8" hidden="1" x14ac:dyDescent="0.25">
      <c r="B885" s="90">
        <f>Gradesheet!A913</f>
        <v>2</v>
      </c>
      <c r="C885" s="91">
        <f>(Gradesheet!B913)</f>
        <v>0</v>
      </c>
      <c r="D885" s="92">
        <f>IF(Outline!$C$14&gt;0,Gradesheet!AD913,Gradesheet!AK913)</f>
        <v>0</v>
      </c>
      <c r="E885" s="145">
        <f>IF(Outline!$C$14&gt;0,Gradesheet!L913,Gradesheet!AR913)</f>
        <v>0</v>
      </c>
      <c r="F885" s="145">
        <f>IF(Outline!$C$14&gt;0,Gradesheet!AZ913,"NA")</f>
        <v>0</v>
      </c>
      <c r="G885" s="145">
        <f>IF(Outline!$C$14&gt;0,Gradesheet!U883,Gradesheet!AY883)</f>
        <v>0</v>
      </c>
      <c r="H885" s="146">
        <f t="shared" si="14"/>
        <v>0</v>
      </c>
    </row>
    <row r="886" spans="2:8" hidden="1" x14ac:dyDescent="0.25">
      <c r="B886" s="90">
        <f>Gradesheet!A914</f>
        <v>3</v>
      </c>
      <c r="C886" s="91">
        <f>(Gradesheet!B914)</f>
        <v>0</v>
      </c>
      <c r="D886" s="92">
        <f>IF(Outline!$C$14&gt;0,Gradesheet!AD914,Gradesheet!AK914)</f>
        <v>0</v>
      </c>
      <c r="E886" s="145">
        <f>IF(Outline!$C$14&gt;0,Gradesheet!L914,Gradesheet!AR914)</f>
        <v>0</v>
      </c>
      <c r="F886" s="145">
        <f>IF(Outline!$C$14&gt;0,Gradesheet!AZ914,"NA")</f>
        <v>0</v>
      </c>
      <c r="G886" s="145">
        <f>IF(Outline!$C$14&gt;0,Gradesheet!U884,Gradesheet!AY884)</f>
        <v>0</v>
      </c>
      <c r="H886" s="146">
        <f t="shared" si="14"/>
        <v>0</v>
      </c>
    </row>
    <row r="887" spans="2:8" hidden="1" x14ac:dyDescent="0.25">
      <c r="B887" s="90">
        <f>Gradesheet!A915</f>
        <v>4</v>
      </c>
      <c r="C887" s="91">
        <f>(Gradesheet!B915)</f>
        <v>0</v>
      </c>
      <c r="D887" s="92">
        <f>IF(Outline!$C$14&gt;0,Gradesheet!AD915,Gradesheet!AK915)</f>
        <v>0</v>
      </c>
      <c r="E887" s="145">
        <f>IF(Outline!$C$14&gt;0,Gradesheet!L915,Gradesheet!AR915)</f>
        <v>0</v>
      </c>
      <c r="F887" s="145">
        <f>IF(Outline!$C$14&gt;0,Gradesheet!AZ915,"NA")</f>
        <v>0</v>
      </c>
      <c r="G887" s="145">
        <f>IF(Outline!$C$14&gt;0,Gradesheet!U885,Gradesheet!AY885)</f>
        <v>0</v>
      </c>
      <c r="H887" s="146">
        <f t="shared" si="14"/>
        <v>0</v>
      </c>
    </row>
    <row r="888" spans="2:8" hidden="1" x14ac:dyDescent="0.25">
      <c r="B888" s="90">
        <f>Gradesheet!A916</f>
        <v>5</v>
      </c>
      <c r="C888" s="91">
        <f>(Gradesheet!B916)</f>
        <v>0</v>
      </c>
      <c r="D888" s="92">
        <f>IF(Outline!$C$14&gt;0,Gradesheet!AD916,Gradesheet!AK916)</f>
        <v>0</v>
      </c>
      <c r="E888" s="145">
        <f>IF(Outline!$C$14&gt;0,Gradesheet!L916,Gradesheet!AR916)</f>
        <v>0</v>
      </c>
      <c r="F888" s="145">
        <f>IF(Outline!$C$14&gt;0,Gradesheet!AZ916,"NA")</f>
        <v>0</v>
      </c>
      <c r="G888" s="145">
        <f>IF(Outline!$C$14&gt;0,Gradesheet!U886,Gradesheet!AY886)</f>
        <v>0</v>
      </c>
      <c r="H888" s="146">
        <f t="shared" si="14"/>
        <v>0</v>
      </c>
    </row>
    <row r="889" spans="2:8" hidden="1" x14ac:dyDescent="0.25">
      <c r="B889" s="90">
        <f>Gradesheet!A917</f>
        <v>6</v>
      </c>
      <c r="C889" s="91">
        <f>(Gradesheet!B917)</f>
        <v>0</v>
      </c>
      <c r="D889" s="92">
        <f>IF(Outline!$C$14&gt;0,Gradesheet!AD917,Gradesheet!AK917)</f>
        <v>0</v>
      </c>
      <c r="E889" s="145">
        <f>IF(Outline!$C$14&gt;0,Gradesheet!L917,Gradesheet!AR917)</f>
        <v>0</v>
      </c>
      <c r="F889" s="145">
        <f>IF(Outline!$C$14&gt;0,Gradesheet!AZ917,"NA")</f>
        <v>0</v>
      </c>
      <c r="G889" s="145">
        <f>IF(Outline!$C$14&gt;0,Gradesheet!U887,Gradesheet!AY887)</f>
        <v>0</v>
      </c>
      <c r="H889" s="146">
        <f t="shared" si="14"/>
        <v>0</v>
      </c>
    </row>
    <row r="890" spans="2:8" hidden="1" x14ac:dyDescent="0.25">
      <c r="B890" s="90">
        <f>Gradesheet!A918</f>
        <v>7</v>
      </c>
      <c r="C890" s="91">
        <f>(Gradesheet!B918)</f>
        <v>0</v>
      </c>
      <c r="D890" s="92">
        <f>IF(Outline!$C$14&gt;0,Gradesheet!AD918,Gradesheet!AK918)</f>
        <v>0</v>
      </c>
      <c r="E890" s="145">
        <f>IF(Outline!$C$14&gt;0,Gradesheet!L918,Gradesheet!AR918)</f>
        <v>0</v>
      </c>
      <c r="F890" s="145">
        <f>IF(Outline!$C$14&gt;0,Gradesheet!AZ918,"NA")</f>
        <v>0</v>
      </c>
      <c r="G890" s="145">
        <f>IF(Outline!$C$14&gt;0,Gradesheet!U888,Gradesheet!AY888)</f>
        <v>0</v>
      </c>
      <c r="H890" s="146">
        <f t="shared" si="14"/>
        <v>0</v>
      </c>
    </row>
    <row r="891" spans="2:8" hidden="1" x14ac:dyDescent="0.25">
      <c r="B891" s="90">
        <f>Gradesheet!A919</f>
        <v>8</v>
      </c>
      <c r="C891" s="91">
        <f>(Gradesheet!B919)</f>
        <v>0</v>
      </c>
      <c r="D891" s="92">
        <f>IF(Outline!$C$14&gt;0,Gradesheet!AD919,Gradesheet!AK919)</f>
        <v>0</v>
      </c>
      <c r="E891" s="145">
        <f>IF(Outline!$C$14&gt;0,Gradesheet!L919,Gradesheet!AR919)</f>
        <v>0</v>
      </c>
      <c r="F891" s="145">
        <f>IF(Outline!$C$14&gt;0,Gradesheet!AZ919,"NA")</f>
        <v>0</v>
      </c>
      <c r="G891" s="145">
        <f>IF(Outline!$C$14&gt;0,Gradesheet!U889,Gradesheet!AY889)</f>
        <v>0</v>
      </c>
      <c r="H891" s="146">
        <f t="shared" si="14"/>
        <v>0</v>
      </c>
    </row>
    <row r="892" spans="2:8" hidden="1" x14ac:dyDescent="0.25">
      <c r="B892" s="90">
        <f>Gradesheet!A920</f>
        <v>9</v>
      </c>
      <c r="C892" s="91">
        <f>(Gradesheet!B920)</f>
        <v>0</v>
      </c>
      <c r="D892" s="92">
        <f>IF(Outline!$C$14&gt;0,Gradesheet!AD920,Gradesheet!AK920)</f>
        <v>0</v>
      </c>
      <c r="E892" s="145">
        <f>IF(Outline!$C$14&gt;0,Gradesheet!L920,Gradesheet!AR920)</f>
        <v>0</v>
      </c>
      <c r="F892" s="145">
        <f>IF(Outline!$C$14&gt;0,Gradesheet!AZ920,"NA")</f>
        <v>0</v>
      </c>
      <c r="G892" s="145">
        <f>IF(Outline!$C$14&gt;0,Gradesheet!U890,Gradesheet!AY890)</f>
        <v>0</v>
      </c>
      <c r="H892" s="146">
        <f t="shared" si="14"/>
        <v>0</v>
      </c>
    </row>
    <row r="893" spans="2:8" hidden="1" x14ac:dyDescent="0.25">
      <c r="B893" s="90">
        <f>Gradesheet!A921</f>
        <v>10</v>
      </c>
      <c r="C893" s="91">
        <f>(Gradesheet!B921)</f>
        <v>0</v>
      </c>
      <c r="D893" s="92">
        <f>IF(Outline!$C$14&gt;0,Gradesheet!AD921,Gradesheet!AK921)</f>
        <v>0</v>
      </c>
      <c r="E893" s="145">
        <f>IF(Outline!$C$14&gt;0,Gradesheet!L921,Gradesheet!AR921)</f>
        <v>0</v>
      </c>
      <c r="F893" s="145">
        <f>IF(Outline!$C$14&gt;0,Gradesheet!AZ921,"NA")</f>
        <v>0</v>
      </c>
      <c r="G893" s="145">
        <f>IF(Outline!$C$14&gt;0,Gradesheet!U891,Gradesheet!AY891)</f>
        <v>0</v>
      </c>
      <c r="H893" s="146">
        <f t="shared" si="14"/>
        <v>0</v>
      </c>
    </row>
    <row r="894" spans="2:8" hidden="1" x14ac:dyDescent="0.25">
      <c r="B894" s="90">
        <f>Gradesheet!A922</f>
        <v>11</v>
      </c>
      <c r="C894" s="91">
        <f>(Gradesheet!B922)</f>
        <v>0</v>
      </c>
      <c r="D894" s="92">
        <f>IF(Outline!$C$14&gt;0,Gradesheet!AD922,Gradesheet!AK922)</f>
        <v>0</v>
      </c>
      <c r="E894" s="145">
        <f>IF(Outline!$C$14&gt;0,Gradesheet!L922,Gradesheet!AR922)</f>
        <v>0</v>
      </c>
      <c r="F894" s="145">
        <f>IF(Outline!$C$14&gt;0,Gradesheet!AZ922,"NA")</f>
        <v>0</v>
      </c>
      <c r="G894" s="145">
        <f>IF(Outline!$C$14&gt;0,Gradesheet!U892,Gradesheet!AY892)</f>
        <v>0</v>
      </c>
      <c r="H894" s="146">
        <f t="shared" si="14"/>
        <v>0</v>
      </c>
    </row>
    <row r="895" spans="2:8" hidden="1" x14ac:dyDescent="0.25">
      <c r="B895" s="90">
        <f>Gradesheet!A923</f>
        <v>12</v>
      </c>
      <c r="C895" s="91">
        <f>(Gradesheet!B923)</f>
        <v>0</v>
      </c>
      <c r="D895" s="92">
        <f>IF(Outline!$C$14&gt;0,Gradesheet!AD923,Gradesheet!AK923)</f>
        <v>0</v>
      </c>
      <c r="E895" s="145">
        <f>IF(Outline!$C$14&gt;0,Gradesheet!L923,Gradesheet!AR923)</f>
        <v>0</v>
      </c>
      <c r="F895" s="145">
        <f>IF(Outline!$C$14&gt;0,Gradesheet!AZ923,"NA")</f>
        <v>0</v>
      </c>
      <c r="G895" s="145">
        <f>IF(Outline!$C$14&gt;0,Gradesheet!U893,Gradesheet!AY893)</f>
        <v>0</v>
      </c>
      <c r="H895" s="146">
        <f t="shared" si="14"/>
        <v>0</v>
      </c>
    </row>
    <row r="896" spans="2:8" hidden="1" x14ac:dyDescent="0.25">
      <c r="B896" s="90">
        <f>Gradesheet!A924</f>
        <v>13</v>
      </c>
      <c r="C896" s="91">
        <f>(Gradesheet!B924)</f>
        <v>0</v>
      </c>
      <c r="D896" s="92">
        <f>IF(Outline!$C$14&gt;0,Gradesheet!AD924,Gradesheet!AK924)</f>
        <v>0</v>
      </c>
      <c r="E896" s="145">
        <f>IF(Outline!$C$14&gt;0,Gradesheet!L924,Gradesheet!AR924)</f>
        <v>0</v>
      </c>
      <c r="F896" s="145">
        <f>IF(Outline!$C$14&gt;0,Gradesheet!AZ924,"NA")</f>
        <v>0</v>
      </c>
      <c r="G896" s="145">
        <f>IF(Outline!$C$14&gt;0,Gradesheet!U894,Gradesheet!AY894)</f>
        <v>0</v>
      </c>
      <c r="H896" s="146">
        <f t="shared" si="14"/>
        <v>0</v>
      </c>
    </row>
    <row r="897" spans="2:8" hidden="1" x14ac:dyDescent="0.25">
      <c r="B897" s="90">
        <f>Gradesheet!A925</f>
        <v>14</v>
      </c>
      <c r="C897" s="91">
        <f>(Gradesheet!B925)</f>
        <v>0</v>
      </c>
      <c r="D897" s="92">
        <f>IF(Outline!$C$14&gt;0,Gradesheet!AD925,Gradesheet!AK925)</f>
        <v>0</v>
      </c>
      <c r="E897" s="145">
        <f>IF(Outline!$C$14&gt;0,Gradesheet!L925,Gradesheet!AR925)</f>
        <v>0</v>
      </c>
      <c r="F897" s="145">
        <f>IF(Outline!$C$14&gt;0,Gradesheet!AZ925,"NA")</f>
        <v>0</v>
      </c>
      <c r="G897" s="145">
        <f>IF(Outline!$C$14&gt;0,Gradesheet!U895,Gradesheet!AY895)</f>
        <v>0</v>
      </c>
      <c r="H897" s="146">
        <f t="shared" si="14"/>
        <v>0</v>
      </c>
    </row>
    <row r="898" spans="2:8" hidden="1" x14ac:dyDescent="0.25">
      <c r="B898" s="90">
        <f>Gradesheet!A926</f>
        <v>15</v>
      </c>
      <c r="C898" s="91">
        <f>(Gradesheet!B926)</f>
        <v>0</v>
      </c>
      <c r="D898" s="92">
        <f>IF(Outline!$C$14&gt;0,Gradesheet!AD926,Gradesheet!AK926)</f>
        <v>0</v>
      </c>
      <c r="E898" s="145">
        <f>IF(Outline!$C$14&gt;0,Gradesheet!L926,Gradesheet!AR926)</f>
        <v>0</v>
      </c>
      <c r="F898" s="145">
        <f>IF(Outline!$C$14&gt;0,Gradesheet!AZ926,"NA")</f>
        <v>0</v>
      </c>
      <c r="G898" s="145">
        <f>IF(Outline!$C$14&gt;0,Gradesheet!U896,Gradesheet!AY896)</f>
        <v>0</v>
      </c>
      <c r="H898" s="146">
        <f t="shared" si="14"/>
        <v>0</v>
      </c>
    </row>
    <row r="899" spans="2:8" hidden="1" x14ac:dyDescent="0.25">
      <c r="B899" s="90">
        <f>Gradesheet!A927</f>
        <v>16</v>
      </c>
      <c r="C899" s="91">
        <f>(Gradesheet!B927)</f>
        <v>0</v>
      </c>
      <c r="D899" s="92">
        <f>IF(Outline!$C$14&gt;0,Gradesheet!AD927,Gradesheet!AK927)</f>
        <v>0</v>
      </c>
      <c r="E899" s="145">
        <f>IF(Outline!$C$14&gt;0,Gradesheet!L927,Gradesheet!AR927)</f>
        <v>0</v>
      </c>
      <c r="F899" s="145">
        <f>IF(Outline!$C$14&gt;0,Gradesheet!AZ927,"NA")</f>
        <v>0</v>
      </c>
      <c r="G899" s="145">
        <f>IF(Outline!$C$14&gt;0,Gradesheet!U897,Gradesheet!AY897)</f>
        <v>0</v>
      </c>
      <c r="H899" s="146">
        <f t="shared" si="14"/>
        <v>0</v>
      </c>
    </row>
    <row r="900" spans="2:8" hidden="1" x14ac:dyDescent="0.25">
      <c r="B900" s="90">
        <f>Gradesheet!A928</f>
        <v>17</v>
      </c>
      <c r="C900" s="91">
        <f>(Gradesheet!B928)</f>
        <v>0</v>
      </c>
      <c r="D900" s="92">
        <f>IF(Outline!$C$14&gt;0,Gradesheet!AD928,Gradesheet!AK928)</f>
        <v>0</v>
      </c>
      <c r="E900" s="145">
        <f>IF(Outline!$C$14&gt;0,Gradesheet!L928,Gradesheet!AR928)</f>
        <v>0</v>
      </c>
      <c r="F900" s="145">
        <f>IF(Outline!$C$14&gt;0,Gradesheet!AZ928,"NA")</f>
        <v>0</v>
      </c>
      <c r="G900" s="145">
        <f>IF(Outline!$C$14&gt;0,Gradesheet!U898,Gradesheet!AY898)</f>
        <v>0</v>
      </c>
      <c r="H900" s="146">
        <f t="shared" si="14"/>
        <v>0</v>
      </c>
    </row>
    <row r="901" spans="2:8" hidden="1" x14ac:dyDescent="0.25">
      <c r="B901" s="90">
        <f>Gradesheet!A929</f>
        <v>18</v>
      </c>
      <c r="C901" s="91">
        <f>(Gradesheet!B929)</f>
        <v>0</v>
      </c>
      <c r="D901" s="92">
        <f>IF(Outline!$C$14&gt;0,Gradesheet!AD929,Gradesheet!AK929)</f>
        <v>0</v>
      </c>
      <c r="E901" s="145">
        <f>IF(Outline!$C$14&gt;0,Gradesheet!L929,Gradesheet!AR929)</f>
        <v>0</v>
      </c>
      <c r="F901" s="145">
        <f>IF(Outline!$C$14&gt;0,Gradesheet!AZ929,"NA")</f>
        <v>0</v>
      </c>
      <c r="G901" s="145">
        <f>IF(Outline!$C$14&gt;0,Gradesheet!U899,Gradesheet!AY899)</f>
        <v>0</v>
      </c>
      <c r="H901" s="146">
        <f t="shared" si="14"/>
        <v>0</v>
      </c>
    </row>
    <row r="902" spans="2:8" hidden="1" x14ac:dyDescent="0.25">
      <c r="B902" s="90">
        <f>Gradesheet!A930</f>
        <v>19</v>
      </c>
      <c r="C902" s="91">
        <f>(Gradesheet!B930)</f>
        <v>0</v>
      </c>
      <c r="D902" s="92">
        <f>IF(Outline!$C$14&gt;0,Gradesheet!AD930,Gradesheet!AK930)</f>
        <v>0</v>
      </c>
      <c r="E902" s="145">
        <f>IF(Outline!$C$14&gt;0,Gradesheet!L930,Gradesheet!AR930)</f>
        <v>0</v>
      </c>
      <c r="F902" s="145">
        <f>IF(Outline!$C$14&gt;0,Gradesheet!AZ930,"NA")</f>
        <v>0</v>
      </c>
      <c r="G902" s="145">
        <f>IF(Outline!$C$14&gt;0,Gradesheet!U900,Gradesheet!AY900)</f>
        <v>0</v>
      </c>
      <c r="H902" s="146">
        <f t="shared" si="14"/>
        <v>0</v>
      </c>
    </row>
    <row r="903" spans="2:8" hidden="1" x14ac:dyDescent="0.25">
      <c r="B903" s="90">
        <f>Gradesheet!A931</f>
        <v>20</v>
      </c>
      <c r="C903" s="91">
        <f>(Gradesheet!B931)</f>
        <v>0</v>
      </c>
      <c r="D903" s="92">
        <f>IF(Outline!$C$14&gt;0,Gradesheet!AD931,Gradesheet!AK931)</f>
        <v>0</v>
      </c>
      <c r="E903" s="145">
        <f>IF(Outline!$C$14&gt;0,Gradesheet!L931,Gradesheet!AR931)</f>
        <v>0</v>
      </c>
      <c r="F903" s="145">
        <f>IF(Outline!$C$14&gt;0,Gradesheet!AZ931,"NA")</f>
        <v>0</v>
      </c>
      <c r="G903" s="145">
        <f>IF(Outline!$C$14&gt;0,Gradesheet!U901,Gradesheet!AY901)</f>
        <v>0</v>
      </c>
      <c r="H903" s="146">
        <f t="shared" ref="H903:H966" si="15">SUM(D903:G903)</f>
        <v>0</v>
      </c>
    </row>
    <row r="904" spans="2:8" hidden="1" x14ac:dyDescent="0.25">
      <c r="B904" s="90">
        <f>Gradesheet!A932</f>
        <v>21</v>
      </c>
      <c r="C904" s="91">
        <f>(Gradesheet!B932)</f>
        <v>0</v>
      </c>
      <c r="D904" s="92">
        <f>IF(Outline!$C$14&gt;0,Gradesheet!AD932,Gradesheet!AK932)</f>
        <v>0</v>
      </c>
      <c r="E904" s="145">
        <f>IF(Outline!$C$14&gt;0,Gradesheet!L932,Gradesheet!AR932)</f>
        <v>0</v>
      </c>
      <c r="F904" s="145">
        <f>IF(Outline!$C$14&gt;0,Gradesheet!AZ932,"NA")</f>
        <v>0</v>
      </c>
      <c r="G904" s="145">
        <f>IF(Outline!$C$14&gt;0,Gradesheet!U902,Gradesheet!AY902)</f>
        <v>0</v>
      </c>
      <c r="H904" s="146">
        <f t="shared" si="15"/>
        <v>0</v>
      </c>
    </row>
    <row r="905" spans="2:8" hidden="1" x14ac:dyDescent="0.25">
      <c r="B905" s="90">
        <f>Gradesheet!A933</f>
        <v>22</v>
      </c>
      <c r="C905" s="91">
        <f>(Gradesheet!B933)</f>
        <v>0</v>
      </c>
      <c r="D905" s="92">
        <f>IF(Outline!$C$14&gt;0,Gradesheet!AD933,Gradesheet!AK933)</f>
        <v>0</v>
      </c>
      <c r="E905" s="145">
        <f>IF(Outline!$C$14&gt;0,Gradesheet!L933,Gradesheet!AR933)</f>
        <v>0</v>
      </c>
      <c r="F905" s="145">
        <f>IF(Outline!$C$14&gt;0,Gradesheet!AZ933,"NA")</f>
        <v>0</v>
      </c>
      <c r="G905" s="145">
        <f>IF(Outline!$C$14&gt;0,Gradesheet!U903,Gradesheet!AY903)</f>
        <v>0</v>
      </c>
      <c r="H905" s="146">
        <f t="shared" si="15"/>
        <v>0</v>
      </c>
    </row>
    <row r="906" spans="2:8" hidden="1" x14ac:dyDescent="0.25">
      <c r="B906" s="90">
        <f>Gradesheet!A934</f>
        <v>23</v>
      </c>
      <c r="C906" s="91">
        <f>(Gradesheet!B934)</f>
        <v>0</v>
      </c>
      <c r="D906" s="92">
        <f>IF(Outline!$C$14&gt;0,Gradesheet!AD934,Gradesheet!AK934)</f>
        <v>0</v>
      </c>
      <c r="E906" s="145">
        <f>IF(Outline!$C$14&gt;0,Gradesheet!L934,Gradesheet!AR934)</f>
        <v>0</v>
      </c>
      <c r="F906" s="145">
        <f>IF(Outline!$C$14&gt;0,Gradesheet!AZ934,"NA")</f>
        <v>0</v>
      </c>
      <c r="G906" s="145">
        <f>IF(Outline!$C$14&gt;0,Gradesheet!U904,Gradesheet!AY904)</f>
        <v>0</v>
      </c>
      <c r="H906" s="146">
        <f t="shared" si="15"/>
        <v>0</v>
      </c>
    </row>
    <row r="907" spans="2:8" hidden="1" x14ac:dyDescent="0.25">
      <c r="B907" s="90">
        <f>Gradesheet!A935</f>
        <v>24</v>
      </c>
      <c r="C907" s="91">
        <f>(Gradesheet!B935)</f>
        <v>0</v>
      </c>
      <c r="D907" s="92">
        <f>IF(Outline!$C$14&gt;0,Gradesheet!AD935,Gradesheet!AK935)</f>
        <v>0</v>
      </c>
      <c r="E907" s="145">
        <f>IF(Outline!$C$14&gt;0,Gradesheet!L935,Gradesheet!AR935)</f>
        <v>0</v>
      </c>
      <c r="F907" s="145">
        <f>IF(Outline!$C$14&gt;0,Gradesheet!AZ935,"NA")</f>
        <v>0</v>
      </c>
      <c r="G907" s="145">
        <f>IF(Outline!$C$14&gt;0,Gradesheet!U905,Gradesheet!AY905)</f>
        <v>0</v>
      </c>
      <c r="H907" s="146">
        <f t="shared" si="15"/>
        <v>0</v>
      </c>
    </row>
    <row r="908" spans="2:8" hidden="1" x14ac:dyDescent="0.25">
      <c r="B908" s="90">
        <f>Gradesheet!A936</f>
        <v>25</v>
      </c>
      <c r="C908" s="91">
        <f>(Gradesheet!B936)</f>
        <v>0</v>
      </c>
      <c r="D908" s="92">
        <f>IF(Outline!$C$14&gt;0,Gradesheet!AD936,Gradesheet!AK936)</f>
        <v>0</v>
      </c>
      <c r="E908" s="145">
        <f>IF(Outline!$C$14&gt;0,Gradesheet!L936,Gradesheet!AR936)</f>
        <v>0</v>
      </c>
      <c r="F908" s="145">
        <f>IF(Outline!$C$14&gt;0,Gradesheet!AZ936,"NA")</f>
        <v>0</v>
      </c>
      <c r="G908" s="145">
        <f>IF(Outline!$C$14&gt;0,Gradesheet!U906,Gradesheet!AY906)</f>
        <v>0</v>
      </c>
      <c r="H908" s="146">
        <f t="shared" si="15"/>
        <v>0</v>
      </c>
    </row>
    <row r="909" spans="2:8" hidden="1" x14ac:dyDescent="0.25">
      <c r="B909" s="90">
        <f>Gradesheet!A937</f>
        <v>26</v>
      </c>
      <c r="C909" s="91">
        <f>(Gradesheet!B937)</f>
        <v>0</v>
      </c>
      <c r="D909" s="92">
        <f>IF(Outline!$C$14&gt;0,Gradesheet!AD937,Gradesheet!AK937)</f>
        <v>0</v>
      </c>
      <c r="E909" s="145">
        <f>IF(Outline!$C$14&gt;0,Gradesheet!L937,Gradesheet!AR937)</f>
        <v>0</v>
      </c>
      <c r="F909" s="145">
        <f>IF(Outline!$C$14&gt;0,Gradesheet!AZ937,"NA")</f>
        <v>0</v>
      </c>
      <c r="G909" s="145">
        <f>IF(Outline!$C$14&gt;0,Gradesheet!U907,Gradesheet!AY907)</f>
        <v>0</v>
      </c>
      <c r="H909" s="146">
        <f t="shared" si="15"/>
        <v>0</v>
      </c>
    </row>
    <row r="910" spans="2:8" hidden="1" x14ac:dyDescent="0.25">
      <c r="B910" s="90">
        <f>Gradesheet!A938</f>
        <v>27</v>
      </c>
      <c r="C910" s="91">
        <f>(Gradesheet!B938)</f>
        <v>0</v>
      </c>
      <c r="D910" s="92">
        <f>IF(Outline!$C$14&gt;0,Gradesheet!AD938,Gradesheet!AK938)</f>
        <v>0</v>
      </c>
      <c r="E910" s="145">
        <f>IF(Outline!$C$14&gt;0,Gradesheet!L938,Gradesheet!AR938)</f>
        <v>0</v>
      </c>
      <c r="F910" s="145">
        <f>IF(Outline!$C$14&gt;0,Gradesheet!AZ938,"NA")</f>
        <v>0</v>
      </c>
      <c r="G910" s="145">
        <f>IF(Outline!$C$14&gt;0,Gradesheet!U908,Gradesheet!AY908)</f>
        <v>0</v>
      </c>
      <c r="H910" s="146">
        <f t="shared" si="15"/>
        <v>0</v>
      </c>
    </row>
    <row r="911" spans="2:8" hidden="1" x14ac:dyDescent="0.25">
      <c r="B911" s="90">
        <f>Gradesheet!A939</f>
        <v>28</v>
      </c>
      <c r="C911" s="91">
        <f>(Gradesheet!B939)</f>
        <v>0</v>
      </c>
      <c r="D911" s="92">
        <f>IF(Outline!$C$14&gt;0,Gradesheet!AD939,Gradesheet!AK939)</f>
        <v>0</v>
      </c>
      <c r="E911" s="145">
        <f>IF(Outline!$C$14&gt;0,Gradesheet!L939,Gradesheet!AR939)</f>
        <v>0</v>
      </c>
      <c r="F911" s="145">
        <f>IF(Outline!$C$14&gt;0,Gradesheet!AZ939,"NA")</f>
        <v>0</v>
      </c>
      <c r="G911" s="145">
        <f>IF(Outline!$C$14&gt;0,Gradesheet!U909,Gradesheet!AY909)</f>
        <v>0</v>
      </c>
      <c r="H911" s="146">
        <f t="shared" si="15"/>
        <v>0</v>
      </c>
    </row>
    <row r="912" spans="2:8" hidden="1" x14ac:dyDescent="0.25">
      <c r="B912" s="90">
        <f>Gradesheet!A940</f>
        <v>29</v>
      </c>
      <c r="C912" s="91">
        <f>(Gradesheet!B940)</f>
        <v>0</v>
      </c>
      <c r="D912" s="92">
        <f>IF(Outline!$C$14&gt;0,Gradesheet!AD940,Gradesheet!AK940)</f>
        <v>0</v>
      </c>
      <c r="E912" s="145">
        <f>IF(Outline!$C$14&gt;0,Gradesheet!L940,Gradesheet!AR940)</f>
        <v>0</v>
      </c>
      <c r="F912" s="145">
        <f>IF(Outline!$C$14&gt;0,Gradesheet!AZ940,"NA")</f>
        <v>0</v>
      </c>
      <c r="G912" s="145">
        <f>IF(Outline!$C$14&gt;0,Gradesheet!U910,Gradesheet!AY910)</f>
        <v>0</v>
      </c>
      <c r="H912" s="146">
        <f t="shared" si="15"/>
        <v>0</v>
      </c>
    </row>
    <row r="913" spans="2:8" hidden="1" x14ac:dyDescent="0.25">
      <c r="B913" s="90">
        <f>Gradesheet!A941</f>
        <v>30</v>
      </c>
      <c r="C913" s="91">
        <f>(Gradesheet!B941)</f>
        <v>0</v>
      </c>
      <c r="D913" s="92">
        <f>IF(Outline!$C$14&gt;0,Gradesheet!AD941,Gradesheet!AK941)</f>
        <v>0</v>
      </c>
      <c r="E913" s="145">
        <f>IF(Outline!$C$14&gt;0,Gradesheet!L941,Gradesheet!AR941)</f>
        <v>0</v>
      </c>
      <c r="F913" s="145">
        <f>IF(Outline!$C$14&gt;0,Gradesheet!AZ941,"NA")</f>
        <v>0</v>
      </c>
      <c r="G913" s="145">
        <f>IF(Outline!$C$14&gt;0,Gradesheet!U911,Gradesheet!AY911)</f>
        <v>0</v>
      </c>
      <c r="H913" s="146">
        <f t="shared" si="15"/>
        <v>0</v>
      </c>
    </row>
    <row r="914" spans="2:8" hidden="1" x14ac:dyDescent="0.25">
      <c r="B914" s="90">
        <f>Gradesheet!A942</f>
        <v>31</v>
      </c>
      <c r="C914" s="91">
        <f>(Gradesheet!B942)</f>
        <v>0</v>
      </c>
      <c r="D914" s="92">
        <f>IF(Outline!$C$14&gt;0,Gradesheet!AD942,Gradesheet!AK942)</f>
        <v>0</v>
      </c>
      <c r="E914" s="145">
        <f>IF(Outline!$C$14&gt;0,Gradesheet!L942,Gradesheet!AR942)</f>
        <v>0</v>
      </c>
      <c r="F914" s="145">
        <f>IF(Outline!$C$14&gt;0,Gradesheet!AZ942,"NA")</f>
        <v>0</v>
      </c>
      <c r="G914" s="145">
        <f>IF(Outline!$C$14&gt;0,Gradesheet!U912,Gradesheet!AY912)</f>
        <v>0</v>
      </c>
      <c r="H914" s="146">
        <f t="shared" si="15"/>
        <v>0</v>
      </c>
    </row>
    <row r="915" spans="2:8" hidden="1" x14ac:dyDescent="0.25">
      <c r="B915" s="90">
        <f>Gradesheet!A943</f>
        <v>32</v>
      </c>
      <c r="C915" s="91">
        <f>(Gradesheet!B943)</f>
        <v>0</v>
      </c>
      <c r="D915" s="92">
        <f>IF(Outline!$C$14&gt;0,Gradesheet!AD943,Gradesheet!AK943)</f>
        <v>0</v>
      </c>
      <c r="E915" s="145">
        <f>IF(Outline!$C$14&gt;0,Gradesheet!L943,Gradesheet!AR943)</f>
        <v>0</v>
      </c>
      <c r="F915" s="145">
        <f>IF(Outline!$C$14&gt;0,Gradesheet!AZ943,"NA")</f>
        <v>0</v>
      </c>
      <c r="G915" s="145">
        <f>IF(Outline!$C$14&gt;0,Gradesheet!U913,Gradesheet!AY913)</f>
        <v>0</v>
      </c>
      <c r="H915" s="146">
        <f t="shared" si="15"/>
        <v>0</v>
      </c>
    </row>
    <row r="916" spans="2:8" hidden="1" x14ac:dyDescent="0.25">
      <c r="B916" s="90">
        <f>Gradesheet!A944</f>
        <v>33</v>
      </c>
      <c r="C916" s="91">
        <f>(Gradesheet!B944)</f>
        <v>0</v>
      </c>
      <c r="D916" s="92">
        <f>IF(Outline!$C$14&gt;0,Gradesheet!AD944,Gradesheet!AK944)</f>
        <v>0</v>
      </c>
      <c r="E916" s="145">
        <f>IF(Outline!$C$14&gt;0,Gradesheet!L944,Gradesheet!AR944)</f>
        <v>0</v>
      </c>
      <c r="F916" s="145">
        <f>IF(Outline!$C$14&gt;0,Gradesheet!AZ944,"NA")</f>
        <v>0</v>
      </c>
      <c r="G916" s="145">
        <f>IF(Outline!$C$14&gt;0,Gradesheet!U914,Gradesheet!AY914)</f>
        <v>0</v>
      </c>
      <c r="H916" s="146">
        <f t="shared" si="15"/>
        <v>0</v>
      </c>
    </row>
    <row r="917" spans="2:8" hidden="1" x14ac:dyDescent="0.25">
      <c r="B917" s="90">
        <f>Gradesheet!A945</f>
        <v>34</v>
      </c>
      <c r="C917" s="91">
        <f>(Gradesheet!B945)</f>
        <v>0</v>
      </c>
      <c r="D917" s="92">
        <f>IF(Outline!$C$14&gt;0,Gradesheet!AD945,Gradesheet!AK945)</f>
        <v>0</v>
      </c>
      <c r="E917" s="145">
        <f>IF(Outline!$C$14&gt;0,Gradesheet!L945,Gradesheet!AR945)</f>
        <v>0</v>
      </c>
      <c r="F917" s="145">
        <f>IF(Outline!$C$14&gt;0,Gradesheet!AZ945,"NA")</f>
        <v>0</v>
      </c>
      <c r="G917" s="145">
        <f>IF(Outline!$C$14&gt;0,Gradesheet!U915,Gradesheet!AY915)</f>
        <v>0</v>
      </c>
      <c r="H917" s="146">
        <f t="shared" si="15"/>
        <v>0</v>
      </c>
    </row>
    <row r="918" spans="2:8" hidden="1" x14ac:dyDescent="0.25">
      <c r="B918" s="90">
        <f>Gradesheet!A946</f>
        <v>35</v>
      </c>
      <c r="C918" s="91">
        <f>(Gradesheet!B946)</f>
        <v>0</v>
      </c>
      <c r="D918" s="92">
        <f>IF(Outline!$C$14&gt;0,Gradesheet!AD946,Gradesheet!AK946)</f>
        <v>0</v>
      </c>
      <c r="E918" s="145">
        <f>IF(Outline!$C$14&gt;0,Gradesheet!L946,Gradesheet!AR946)</f>
        <v>0</v>
      </c>
      <c r="F918" s="145">
        <f>IF(Outline!$C$14&gt;0,Gradesheet!AZ946,"NA")</f>
        <v>0</v>
      </c>
      <c r="G918" s="145">
        <f>IF(Outline!$C$14&gt;0,Gradesheet!U916,Gradesheet!AY916)</f>
        <v>0</v>
      </c>
      <c r="H918" s="146">
        <f t="shared" si="15"/>
        <v>0</v>
      </c>
    </row>
    <row r="919" spans="2:8" hidden="1" x14ac:dyDescent="0.25">
      <c r="B919" s="90">
        <f>Gradesheet!A947</f>
        <v>36</v>
      </c>
      <c r="C919" s="91">
        <f>(Gradesheet!B947)</f>
        <v>0</v>
      </c>
      <c r="D919" s="92">
        <f>IF(Outline!$C$14&gt;0,Gradesheet!AD947,Gradesheet!AK947)</f>
        <v>0</v>
      </c>
      <c r="E919" s="145">
        <f>IF(Outline!$C$14&gt;0,Gradesheet!L947,Gradesheet!AR947)</f>
        <v>0</v>
      </c>
      <c r="F919" s="145">
        <f>IF(Outline!$C$14&gt;0,Gradesheet!AZ947,"NA")</f>
        <v>0</v>
      </c>
      <c r="G919" s="145">
        <f>IF(Outline!$C$14&gt;0,Gradesheet!U917,Gradesheet!AY917)</f>
        <v>0</v>
      </c>
      <c r="H919" s="146">
        <f t="shared" si="15"/>
        <v>0</v>
      </c>
    </row>
    <row r="920" spans="2:8" hidden="1" x14ac:dyDescent="0.25">
      <c r="B920" s="90">
        <f>Gradesheet!A948</f>
        <v>37</v>
      </c>
      <c r="C920" s="91">
        <f>(Gradesheet!B948)</f>
        <v>0</v>
      </c>
      <c r="D920" s="92">
        <f>IF(Outline!$C$14&gt;0,Gradesheet!AD948,Gradesheet!AK948)</f>
        <v>0</v>
      </c>
      <c r="E920" s="145">
        <f>IF(Outline!$C$14&gt;0,Gradesheet!L948,Gradesheet!AR948)</f>
        <v>0</v>
      </c>
      <c r="F920" s="145">
        <f>IF(Outline!$C$14&gt;0,Gradesheet!AZ948,"NA")</f>
        <v>0</v>
      </c>
      <c r="G920" s="145">
        <f>IF(Outline!$C$14&gt;0,Gradesheet!U918,Gradesheet!AY918)</f>
        <v>0</v>
      </c>
      <c r="H920" s="146">
        <f t="shared" si="15"/>
        <v>0</v>
      </c>
    </row>
    <row r="921" spans="2:8" hidden="1" x14ac:dyDescent="0.25">
      <c r="B921" s="90">
        <f>Gradesheet!A949</f>
        <v>38</v>
      </c>
      <c r="C921" s="91">
        <f>(Gradesheet!B949)</f>
        <v>0</v>
      </c>
      <c r="D921" s="92">
        <f>IF(Outline!$C$14&gt;0,Gradesheet!AD949,Gradesheet!AK949)</f>
        <v>0</v>
      </c>
      <c r="E921" s="145">
        <f>IF(Outline!$C$14&gt;0,Gradesheet!L949,Gradesheet!AR949)</f>
        <v>0</v>
      </c>
      <c r="F921" s="145">
        <f>IF(Outline!$C$14&gt;0,Gradesheet!AZ949,"NA")</f>
        <v>0</v>
      </c>
      <c r="G921" s="145">
        <f>IF(Outline!$C$14&gt;0,Gradesheet!U919,Gradesheet!AY919)</f>
        <v>0</v>
      </c>
      <c r="H921" s="146">
        <f t="shared" si="15"/>
        <v>0</v>
      </c>
    </row>
    <row r="922" spans="2:8" hidden="1" x14ac:dyDescent="0.25">
      <c r="B922" s="90">
        <f>Gradesheet!A950</f>
        <v>39</v>
      </c>
      <c r="C922" s="91">
        <f>(Gradesheet!B950)</f>
        <v>0</v>
      </c>
      <c r="D922" s="92">
        <f>IF(Outline!$C$14&gt;0,Gradesheet!AD950,Gradesheet!AK950)</f>
        <v>0</v>
      </c>
      <c r="E922" s="145">
        <f>IF(Outline!$C$14&gt;0,Gradesheet!L950,Gradesheet!AR950)</f>
        <v>0</v>
      </c>
      <c r="F922" s="145">
        <f>IF(Outline!$C$14&gt;0,Gradesheet!AZ950,"NA")</f>
        <v>0</v>
      </c>
      <c r="G922" s="145">
        <f>IF(Outline!$C$14&gt;0,Gradesheet!U920,Gradesheet!AY920)</f>
        <v>0</v>
      </c>
      <c r="H922" s="146">
        <f t="shared" si="15"/>
        <v>0</v>
      </c>
    </row>
    <row r="923" spans="2:8" hidden="1" x14ac:dyDescent="0.25">
      <c r="B923" s="90">
        <f>Gradesheet!A951</f>
        <v>40</v>
      </c>
      <c r="C923" s="91">
        <f>(Gradesheet!B951)</f>
        <v>0</v>
      </c>
      <c r="D923" s="92">
        <f>IF(Outline!$C$14&gt;0,Gradesheet!AD951,Gradesheet!AK951)</f>
        <v>0</v>
      </c>
      <c r="E923" s="145">
        <f>IF(Outline!$C$14&gt;0,Gradesheet!L951,Gradesheet!AR951)</f>
        <v>0</v>
      </c>
      <c r="F923" s="145">
        <f>IF(Outline!$C$14&gt;0,Gradesheet!AZ951,"NA")</f>
        <v>0</v>
      </c>
      <c r="G923" s="145">
        <f>IF(Outline!$C$14&gt;0,Gradesheet!U921,Gradesheet!AY921)</f>
        <v>0</v>
      </c>
      <c r="H923" s="146">
        <f t="shared" si="15"/>
        <v>0</v>
      </c>
    </row>
    <row r="924" spans="2:8" hidden="1" x14ac:dyDescent="0.25">
      <c r="B924" s="90">
        <f>Gradesheet!A952</f>
        <v>41</v>
      </c>
      <c r="C924" s="91">
        <f>(Gradesheet!B952)</f>
        <v>0</v>
      </c>
      <c r="D924" s="92">
        <f>IF(Outline!$C$14&gt;0,Gradesheet!AD952,Gradesheet!AK952)</f>
        <v>0</v>
      </c>
      <c r="E924" s="145">
        <f>IF(Outline!$C$14&gt;0,Gradesheet!L952,Gradesheet!AR952)</f>
        <v>0</v>
      </c>
      <c r="F924" s="145">
        <f>IF(Outline!$C$14&gt;0,Gradesheet!AZ952,"NA")</f>
        <v>0</v>
      </c>
      <c r="G924" s="145">
        <f>IF(Outline!$C$14&gt;0,Gradesheet!U922,Gradesheet!AY922)</f>
        <v>0</v>
      </c>
      <c r="H924" s="146">
        <f t="shared" si="15"/>
        <v>0</v>
      </c>
    </row>
    <row r="925" spans="2:8" hidden="1" x14ac:dyDescent="0.25">
      <c r="B925" s="90">
        <f>Gradesheet!A953</f>
        <v>42</v>
      </c>
      <c r="C925" s="91">
        <f>(Gradesheet!B953)</f>
        <v>0</v>
      </c>
      <c r="D925" s="92">
        <f>IF(Outline!$C$14&gt;0,Gradesheet!AD953,Gradesheet!AK953)</f>
        <v>0</v>
      </c>
      <c r="E925" s="145">
        <f>IF(Outline!$C$14&gt;0,Gradesheet!L953,Gradesheet!AR953)</f>
        <v>0</v>
      </c>
      <c r="F925" s="145">
        <f>IF(Outline!$C$14&gt;0,Gradesheet!AZ953,"NA")</f>
        <v>0</v>
      </c>
      <c r="G925" s="145">
        <f>IF(Outline!$C$14&gt;0,Gradesheet!U923,Gradesheet!AY923)</f>
        <v>0</v>
      </c>
      <c r="H925" s="146">
        <f t="shared" si="15"/>
        <v>0</v>
      </c>
    </row>
    <row r="926" spans="2:8" hidden="1" x14ac:dyDescent="0.25">
      <c r="B926" s="90">
        <f>Gradesheet!A954</f>
        <v>0</v>
      </c>
      <c r="C926" s="91">
        <f>(Gradesheet!B954)</f>
        <v>0</v>
      </c>
      <c r="D926" s="92">
        <f>IF(Outline!$C$14&gt;0,Gradesheet!AD954,Gradesheet!AK954)</f>
        <v>0</v>
      </c>
      <c r="E926" s="145">
        <f>IF(Outline!$C$14&gt;0,Gradesheet!L954,Gradesheet!AR954)</f>
        <v>0</v>
      </c>
      <c r="F926" s="145">
        <f>IF(Outline!$C$14&gt;0,Gradesheet!AZ954,"NA")</f>
        <v>0</v>
      </c>
      <c r="G926" s="145">
        <f>IF(Outline!$C$14&gt;0,Gradesheet!U924,Gradesheet!AY924)</f>
        <v>0</v>
      </c>
      <c r="H926" s="146">
        <f t="shared" si="15"/>
        <v>0</v>
      </c>
    </row>
    <row r="927" spans="2:8" hidden="1" x14ac:dyDescent="0.25">
      <c r="B927" s="90">
        <f>Gradesheet!A955</f>
        <v>1</v>
      </c>
      <c r="C927" s="91">
        <f>(Gradesheet!B955)</f>
        <v>0</v>
      </c>
      <c r="D927" s="92">
        <f>IF(Outline!$C$14&gt;0,Gradesheet!AD955,Gradesheet!AK955)</f>
        <v>0</v>
      </c>
      <c r="E927" s="145">
        <f>IF(Outline!$C$14&gt;0,Gradesheet!L955,Gradesheet!AR955)</f>
        <v>0</v>
      </c>
      <c r="F927" s="145">
        <f>IF(Outline!$C$14&gt;0,Gradesheet!AZ955,"NA")</f>
        <v>0</v>
      </c>
      <c r="G927" s="145">
        <f>IF(Outline!$C$14&gt;0,Gradesheet!U925,Gradesheet!AY925)</f>
        <v>0</v>
      </c>
      <c r="H927" s="146">
        <f t="shared" si="15"/>
        <v>0</v>
      </c>
    </row>
    <row r="928" spans="2:8" hidden="1" x14ac:dyDescent="0.25">
      <c r="B928" s="90">
        <f>Gradesheet!A956</f>
        <v>2</v>
      </c>
      <c r="C928" s="91">
        <f>(Gradesheet!B956)</f>
        <v>0</v>
      </c>
      <c r="D928" s="92">
        <f>IF(Outline!$C$14&gt;0,Gradesheet!AD956,Gradesheet!AK956)</f>
        <v>0</v>
      </c>
      <c r="E928" s="145">
        <f>IF(Outline!$C$14&gt;0,Gradesheet!L956,Gradesheet!AR956)</f>
        <v>0</v>
      </c>
      <c r="F928" s="145">
        <f>IF(Outline!$C$14&gt;0,Gradesheet!AZ956,"NA")</f>
        <v>0</v>
      </c>
      <c r="G928" s="145">
        <f>IF(Outline!$C$14&gt;0,Gradesheet!U926,Gradesheet!AY926)</f>
        <v>0</v>
      </c>
      <c r="H928" s="146">
        <f t="shared" si="15"/>
        <v>0</v>
      </c>
    </row>
    <row r="929" spans="2:8" hidden="1" x14ac:dyDescent="0.25">
      <c r="B929" s="90">
        <f>Gradesheet!A957</f>
        <v>3</v>
      </c>
      <c r="C929" s="91">
        <f>(Gradesheet!B957)</f>
        <v>0</v>
      </c>
      <c r="D929" s="92">
        <f>IF(Outline!$C$14&gt;0,Gradesheet!AD957,Gradesheet!AK957)</f>
        <v>0</v>
      </c>
      <c r="E929" s="145">
        <f>IF(Outline!$C$14&gt;0,Gradesheet!L957,Gradesheet!AR957)</f>
        <v>0</v>
      </c>
      <c r="F929" s="145">
        <f>IF(Outline!$C$14&gt;0,Gradesheet!AZ957,"NA")</f>
        <v>0</v>
      </c>
      <c r="G929" s="145">
        <f>IF(Outline!$C$14&gt;0,Gradesheet!U927,Gradesheet!AY927)</f>
        <v>0</v>
      </c>
      <c r="H929" s="146">
        <f t="shared" si="15"/>
        <v>0</v>
      </c>
    </row>
    <row r="930" spans="2:8" hidden="1" x14ac:dyDescent="0.25">
      <c r="B930" s="90">
        <f>Gradesheet!A958</f>
        <v>4</v>
      </c>
      <c r="C930" s="91">
        <f>(Gradesheet!B958)</f>
        <v>0</v>
      </c>
      <c r="D930" s="92">
        <f>IF(Outline!$C$14&gt;0,Gradesheet!AD958,Gradesheet!AK958)</f>
        <v>0</v>
      </c>
      <c r="E930" s="145">
        <f>IF(Outline!$C$14&gt;0,Gradesheet!L958,Gradesheet!AR958)</f>
        <v>0</v>
      </c>
      <c r="F930" s="145">
        <f>IF(Outline!$C$14&gt;0,Gradesheet!AZ958,"NA")</f>
        <v>0</v>
      </c>
      <c r="G930" s="145">
        <f>IF(Outline!$C$14&gt;0,Gradesheet!U928,Gradesheet!AY928)</f>
        <v>0</v>
      </c>
      <c r="H930" s="146">
        <f t="shared" si="15"/>
        <v>0</v>
      </c>
    </row>
    <row r="931" spans="2:8" hidden="1" x14ac:dyDescent="0.25">
      <c r="B931" s="90">
        <f>Gradesheet!A959</f>
        <v>5</v>
      </c>
      <c r="C931" s="91">
        <f>(Gradesheet!B959)</f>
        <v>0</v>
      </c>
      <c r="D931" s="92">
        <f>IF(Outline!$C$14&gt;0,Gradesheet!AD959,Gradesheet!AK959)</f>
        <v>0</v>
      </c>
      <c r="E931" s="145">
        <f>IF(Outline!$C$14&gt;0,Gradesheet!L959,Gradesheet!AR959)</f>
        <v>0</v>
      </c>
      <c r="F931" s="145">
        <f>IF(Outline!$C$14&gt;0,Gradesheet!AZ959,"NA")</f>
        <v>0</v>
      </c>
      <c r="G931" s="145">
        <f>IF(Outline!$C$14&gt;0,Gradesheet!U929,Gradesheet!AY929)</f>
        <v>0</v>
      </c>
      <c r="H931" s="146">
        <f t="shared" si="15"/>
        <v>0</v>
      </c>
    </row>
    <row r="932" spans="2:8" hidden="1" x14ac:dyDescent="0.25">
      <c r="B932" s="90">
        <f>Gradesheet!A960</f>
        <v>6</v>
      </c>
      <c r="C932" s="91">
        <f>(Gradesheet!B960)</f>
        <v>0</v>
      </c>
      <c r="D932" s="92">
        <f>IF(Outline!$C$14&gt;0,Gradesheet!AD960,Gradesheet!AK960)</f>
        <v>0</v>
      </c>
      <c r="E932" s="145">
        <f>IF(Outline!$C$14&gt;0,Gradesheet!L960,Gradesheet!AR960)</f>
        <v>0</v>
      </c>
      <c r="F932" s="145">
        <f>IF(Outline!$C$14&gt;0,Gradesheet!AZ960,"NA")</f>
        <v>0</v>
      </c>
      <c r="G932" s="145">
        <f>IF(Outline!$C$14&gt;0,Gradesheet!U930,Gradesheet!AY930)</f>
        <v>0</v>
      </c>
      <c r="H932" s="146">
        <f t="shared" si="15"/>
        <v>0</v>
      </c>
    </row>
    <row r="933" spans="2:8" hidden="1" x14ac:dyDescent="0.25">
      <c r="B933" s="90">
        <f>Gradesheet!A961</f>
        <v>7</v>
      </c>
      <c r="C933" s="91">
        <f>(Gradesheet!B961)</f>
        <v>0</v>
      </c>
      <c r="D933" s="92">
        <f>IF(Outline!$C$14&gt;0,Gradesheet!AD961,Gradesheet!AK961)</f>
        <v>0</v>
      </c>
      <c r="E933" s="145">
        <f>IF(Outline!$C$14&gt;0,Gradesheet!L961,Gradesheet!AR961)</f>
        <v>0</v>
      </c>
      <c r="F933" s="145">
        <f>IF(Outline!$C$14&gt;0,Gradesheet!AZ961,"NA")</f>
        <v>0</v>
      </c>
      <c r="G933" s="145">
        <f>IF(Outline!$C$14&gt;0,Gradesheet!U931,Gradesheet!AY931)</f>
        <v>0</v>
      </c>
      <c r="H933" s="146">
        <f t="shared" si="15"/>
        <v>0</v>
      </c>
    </row>
    <row r="934" spans="2:8" hidden="1" x14ac:dyDescent="0.25">
      <c r="B934" s="90">
        <f>Gradesheet!A962</f>
        <v>8</v>
      </c>
      <c r="C934" s="91">
        <f>(Gradesheet!B962)</f>
        <v>0</v>
      </c>
      <c r="D934" s="92">
        <f>IF(Outline!$C$14&gt;0,Gradesheet!AD962,Gradesheet!AK962)</f>
        <v>0</v>
      </c>
      <c r="E934" s="145">
        <f>IF(Outline!$C$14&gt;0,Gradesheet!L962,Gradesheet!AR962)</f>
        <v>0</v>
      </c>
      <c r="F934" s="145">
        <f>IF(Outline!$C$14&gt;0,Gradesheet!AZ962,"NA")</f>
        <v>0</v>
      </c>
      <c r="G934" s="145">
        <f>IF(Outline!$C$14&gt;0,Gradesheet!U932,Gradesheet!AY932)</f>
        <v>0</v>
      </c>
      <c r="H934" s="146">
        <f t="shared" si="15"/>
        <v>0</v>
      </c>
    </row>
    <row r="935" spans="2:8" hidden="1" x14ac:dyDescent="0.25">
      <c r="B935" s="90">
        <f>Gradesheet!A963</f>
        <v>9</v>
      </c>
      <c r="C935" s="91">
        <f>(Gradesheet!B963)</f>
        <v>0</v>
      </c>
      <c r="D935" s="92">
        <f>IF(Outline!$C$14&gt;0,Gradesheet!AD963,Gradesheet!AK963)</f>
        <v>0</v>
      </c>
      <c r="E935" s="145">
        <f>IF(Outline!$C$14&gt;0,Gradesheet!L963,Gradesheet!AR963)</f>
        <v>0</v>
      </c>
      <c r="F935" s="145">
        <f>IF(Outline!$C$14&gt;0,Gradesheet!AZ963,"NA")</f>
        <v>0</v>
      </c>
      <c r="G935" s="145">
        <f>IF(Outline!$C$14&gt;0,Gradesheet!U933,Gradesheet!AY933)</f>
        <v>0</v>
      </c>
      <c r="H935" s="146">
        <f t="shared" si="15"/>
        <v>0</v>
      </c>
    </row>
    <row r="936" spans="2:8" hidden="1" x14ac:dyDescent="0.25">
      <c r="B936" s="90">
        <f>Gradesheet!A964</f>
        <v>10</v>
      </c>
      <c r="C936" s="91">
        <f>(Gradesheet!B964)</f>
        <v>0</v>
      </c>
      <c r="D936" s="92">
        <f>IF(Outline!$C$14&gt;0,Gradesheet!AD964,Gradesheet!AK964)</f>
        <v>0</v>
      </c>
      <c r="E936" s="145">
        <f>IF(Outline!$C$14&gt;0,Gradesheet!L964,Gradesheet!AR964)</f>
        <v>0</v>
      </c>
      <c r="F936" s="145">
        <f>IF(Outline!$C$14&gt;0,Gradesheet!AZ964,"NA")</f>
        <v>0</v>
      </c>
      <c r="G936" s="145">
        <f>IF(Outline!$C$14&gt;0,Gradesheet!U934,Gradesheet!AY934)</f>
        <v>0</v>
      </c>
      <c r="H936" s="146">
        <f t="shared" si="15"/>
        <v>0</v>
      </c>
    </row>
    <row r="937" spans="2:8" hidden="1" x14ac:dyDescent="0.25">
      <c r="B937" s="90">
        <f>Gradesheet!A965</f>
        <v>11</v>
      </c>
      <c r="C937" s="91">
        <f>(Gradesheet!B965)</f>
        <v>0</v>
      </c>
      <c r="D937" s="92">
        <f>IF(Outline!$C$14&gt;0,Gradesheet!AD965,Gradesheet!AK965)</f>
        <v>0</v>
      </c>
      <c r="E937" s="145">
        <f>IF(Outline!$C$14&gt;0,Gradesheet!L965,Gradesheet!AR965)</f>
        <v>0</v>
      </c>
      <c r="F937" s="145">
        <f>IF(Outline!$C$14&gt;0,Gradesheet!AZ965,"NA")</f>
        <v>0</v>
      </c>
      <c r="G937" s="145">
        <f>IF(Outline!$C$14&gt;0,Gradesheet!U935,Gradesheet!AY935)</f>
        <v>0</v>
      </c>
      <c r="H937" s="146">
        <f t="shared" si="15"/>
        <v>0</v>
      </c>
    </row>
    <row r="938" spans="2:8" hidden="1" x14ac:dyDescent="0.25">
      <c r="B938" s="90">
        <f>Gradesheet!A966</f>
        <v>12</v>
      </c>
      <c r="C938" s="91">
        <f>(Gradesheet!B966)</f>
        <v>0</v>
      </c>
      <c r="D938" s="92">
        <f>IF(Outline!$C$14&gt;0,Gradesheet!AD966,Gradesheet!AK966)</f>
        <v>0</v>
      </c>
      <c r="E938" s="145">
        <f>IF(Outline!$C$14&gt;0,Gradesheet!L966,Gradesheet!AR966)</f>
        <v>0</v>
      </c>
      <c r="F938" s="145">
        <f>IF(Outline!$C$14&gt;0,Gradesheet!AZ966,"NA")</f>
        <v>0</v>
      </c>
      <c r="G938" s="145">
        <f>IF(Outline!$C$14&gt;0,Gradesheet!U936,Gradesheet!AY936)</f>
        <v>0</v>
      </c>
      <c r="H938" s="146">
        <f t="shared" si="15"/>
        <v>0</v>
      </c>
    </row>
    <row r="939" spans="2:8" hidden="1" x14ac:dyDescent="0.25">
      <c r="B939" s="90">
        <f>Gradesheet!A967</f>
        <v>13</v>
      </c>
      <c r="C939" s="91">
        <f>(Gradesheet!B967)</f>
        <v>0</v>
      </c>
      <c r="D939" s="92">
        <f>IF(Outline!$C$14&gt;0,Gradesheet!AD967,Gradesheet!AK967)</f>
        <v>0</v>
      </c>
      <c r="E939" s="145">
        <f>IF(Outline!$C$14&gt;0,Gradesheet!L967,Gradesheet!AR967)</f>
        <v>0</v>
      </c>
      <c r="F939" s="145">
        <f>IF(Outline!$C$14&gt;0,Gradesheet!AZ967,"NA")</f>
        <v>0</v>
      </c>
      <c r="G939" s="145">
        <f>IF(Outline!$C$14&gt;0,Gradesheet!U937,Gradesheet!AY937)</f>
        <v>0</v>
      </c>
      <c r="H939" s="146">
        <f t="shared" si="15"/>
        <v>0</v>
      </c>
    </row>
    <row r="940" spans="2:8" hidden="1" x14ac:dyDescent="0.25">
      <c r="B940" s="90">
        <f>Gradesheet!A968</f>
        <v>14</v>
      </c>
      <c r="C940" s="91">
        <f>(Gradesheet!B968)</f>
        <v>0</v>
      </c>
      <c r="D940" s="92">
        <f>IF(Outline!$C$14&gt;0,Gradesheet!AD968,Gradesheet!AK968)</f>
        <v>0</v>
      </c>
      <c r="E940" s="145">
        <f>IF(Outline!$C$14&gt;0,Gradesheet!L968,Gradesheet!AR968)</f>
        <v>0</v>
      </c>
      <c r="F940" s="145">
        <f>IF(Outline!$C$14&gt;0,Gradesheet!AZ968,"NA")</f>
        <v>0</v>
      </c>
      <c r="G940" s="145">
        <f>IF(Outline!$C$14&gt;0,Gradesheet!U938,Gradesheet!AY938)</f>
        <v>0</v>
      </c>
      <c r="H940" s="146">
        <f t="shared" si="15"/>
        <v>0</v>
      </c>
    </row>
    <row r="941" spans="2:8" hidden="1" x14ac:dyDescent="0.25">
      <c r="B941" s="90">
        <f>Gradesheet!A969</f>
        <v>15</v>
      </c>
      <c r="C941" s="91">
        <f>(Gradesheet!B969)</f>
        <v>0</v>
      </c>
      <c r="D941" s="92">
        <f>IF(Outline!$C$14&gt;0,Gradesheet!AD969,Gradesheet!AK969)</f>
        <v>0</v>
      </c>
      <c r="E941" s="145">
        <f>IF(Outline!$C$14&gt;0,Gradesheet!L969,Gradesheet!AR969)</f>
        <v>0</v>
      </c>
      <c r="F941" s="145">
        <f>IF(Outline!$C$14&gt;0,Gradesheet!AZ969,"NA")</f>
        <v>0</v>
      </c>
      <c r="G941" s="145">
        <f>IF(Outline!$C$14&gt;0,Gradesheet!U939,Gradesheet!AY939)</f>
        <v>0</v>
      </c>
      <c r="H941" s="146">
        <f t="shared" si="15"/>
        <v>0</v>
      </c>
    </row>
    <row r="942" spans="2:8" hidden="1" x14ac:dyDescent="0.25">
      <c r="B942" s="90">
        <f>Gradesheet!A970</f>
        <v>16</v>
      </c>
      <c r="C942" s="91">
        <f>(Gradesheet!B970)</f>
        <v>0</v>
      </c>
      <c r="D942" s="92">
        <f>IF(Outline!$C$14&gt;0,Gradesheet!AD970,Gradesheet!AK970)</f>
        <v>0</v>
      </c>
      <c r="E942" s="145">
        <f>IF(Outline!$C$14&gt;0,Gradesheet!L970,Gradesheet!AR970)</f>
        <v>0</v>
      </c>
      <c r="F942" s="145">
        <f>IF(Outline!$C$14&gt;0,Gradesheet!AZ970,"NA")</f>
        <v>0</v>
      </c>
      <c r="G942" s="145">
        <f>IF(Outline!$C$14&gt;0,Gradesheet!U940,Gradesheet!AY940)</f>
        <v>0</v>
      </c>
      <c r="H942" s="146">
        <f t="shared" si="15"/>
        <v>0</v>
      </c>
    </row>
    <row r="943" spans="2:8" hidden="1" x14ac:dyDescent="0.25">
      <c r="B943" s="90">
        <f>Gradesheet!A971</f>
        <v>17</v>
      </c>
      <c r="C943" s="91">
        <f>(Gradesheet!B971)</f>
        <v>0</v>
      </c>
      <c r="D943" s="92">
        <f>IF(Outline!$C$14&gt;0,Gradesheet!AD971,Gradesheet!AK971)</f>
        <v>0</v>
      </c>
      <c r="E943" s="145">
        <f>IF(Outline!$C$14&gt;0,Gradesheet!L971,Gradesheet!AR971)</f>
        <v>0</v>
      </c>
      <c r="F943" s="145">
        <f>IF(Outline!$C$14&gt;0,Gradesheet!AZ971,"NA")</f>
        <v>0</v>
      </c>
      <c r="G943" s="145">
        <f>IF(Outline!$C$14&gt;0,Gradesheet!U941,Gradesheet!AY941)</f>
        <v>0</v>
      </c>
      <c r="H943" s="146">
        <f t="shared" si="15"/>
        <v>0</v>
      </c>
    </row>
    <row r="944" spans="2:8" hidden="1" x14ac:dyDescent="0.25">
      <c r="B944" s="90">
        <f>Gradesheet!A972</f>
        <v>18</v>
      </c>
      <c r="C944" s="91">
        <f>(Gradesheet!B972)</f>
        <v>0</v>
      </c>
      <c r="D944" s="92">
        <f>IF(Outline!$C$14&gt;0,Gradesheet!AD972,Gradesheet!AK972)</f>
        <v>0</v>
      </c>
      <c r="E944" s="145">
        <f>IF(Outline!$C$14&gt;0,Gradesheet!L972,Gradesheet!AR972)</f>
        <v>0</v>
      </c>
      <c r="F944" s="145">
        <f>IF(Outline!$C$14&gt;0,Gradesheet!AZ972,"NA")</f>
        <v>0</v>
      </c>
      <c r="G944" s="145">
        <f>IF(Outline!$C$14&gt;0,Gradesheet!U942,Gradesheet!AY942)</f>
        <v>0</v>
      </c>
      <c r="H944" s="146">
        <f t="shared" si="15"/>
        <v>0</v>
      </c>
    </row>
    <row r="945" spans="2:8" hidden="1" x14ac:dyDescent="0.25">
      <c r="B945" s="90">
        <f>Gradesheet!A973</f>
        <v>19</v>
      </c>
      <c r="C945" s="91">
        <f>(Gradesheet!B973)</f>
        <v>0</v>
      </c>
      <c r="D945" s="92">
        <f>IF(Outline!$C$14&gt;0,Gradesheet!AD973,Gradesheet!AK973)</f>
        <v>0</v>
      </c>
      <c r="E945" s="145">
        <f>IF(Outline!$C$14&gt;0,Gradesheet!L973,Gradesheet!AR973)</f>
        <v>0</v>
      </c>
      <c r="F945" s="145">
        <f>IF(Outline!$C$14&gt;0,Gradesheet!AZ973,"NA")</f>
        <v>0</v>
      </c>
      <c r="G945" s="145">
        <f>IF(Outline!$C$14&gt;0,Gradesheet!U943,Gradesheet!AY943)</f>
        <v>0</v>
      </c>
      <c r="H945" s="146">
        <f t="shared" si="15"/>
        <v>0</v>
      </c>
    </row>
    <row r="946" spans="2:8" hidden="1" x14ac:dyDescent="0.25">
      <c r="B946" s="90">
        <f>Gradesheet!A974</f>
        <v>20</v>
      </c>
      <c r="C946" s="91">
        <f>(Gradesheet!B974)</f>
        <v>0</v>
      </c>
      <c r="D946" s="92">
        <f>IF(Outline!$C$14&gt;0,Gradesheet!AD974,Gradesheet!AK974)</f>
        <v>0</v>
      </c>
      <c r="E946" s="145">
        <f>IF(Outline!$C$14&gt;0,Gradesheet!L974,Gradesheet!AR974)</f>
        <v>0</v>
      </c>
      <c r="F946" s="145">
        <f>IF(Outline!$C$14&gt;0,Gradesheet!AZ974,"NA")</f>
        <v>0</v>
      </c>
      <c r="G946" s="145">
        <f>IF(Outline!$C$14&gt;0,Gradesheet!U944,Gradesheet!AY944)</f>
        <v>0</v>
      </c>
      <c r="H946" s="146">
        <f t="shared" si="15"/>
        <v>0</v>
      </c>
    </row>
    <row r="947" spans="2:8" hidden="1" x14ac:dyDescent="0.25">
      <c r="B947" s="90">
        <f>Gradesheet!A975</f>
        <v>21</v>
      </c>
      <c r="C947" s="91">
        <f>(Gradesheet!B975)</f>
        <v>0</v>
      </c>
      <c r="D947" s="92">
        <f>IF(Outline!$C$14&gt;0,Gradesheet!AD975,Gradesheet!AK975)</f>
        <v>0</v>
      </c>
      <c r="E947" s="145">
        <f>IF(Outline!$C$14&gt;0,Gradesheet!L975,Gradesheet!AR975)</f>
        <v>0</v>
      </c>
      <c r="F947" s="145">
        <f>IF(Outline!$C$14&gt;0,Gradesheet!AZ975,"NA")</f>
        <v>0</v>
      </c>
      <c r="G947" s="145">
        <f>IF(Outline!$C$14&gt;0,Gradesheet!U945,Gradesheet!AY945)</f>
        <v>0</v>
      </c>
      <c r="H947" s="146">
        <f t="shared" si="15"/>
        <v>0</v>
      </c>
    </row>
    <row r="948" spans="2:8" hidden="1" x14ac:dyDescent="0.25">
      <c r="B948" s="90">
        <f>Gradesheet!A976</f>
        <v>22</v>
      </c>
      <c r="C948" s="91">
        <f>(Gradesheet!B976)</f>
        <v>0</v>
      </c>
      <c r="D948" s="92">
        <f>IF(Outline!$C$14&gt;0,Gradesheet!AD976,Gradesheet!AK976)</f>
        <v>0</v>
      </c>
      <c r="E948" s="145">
        <f>IF(Outline!$C$14&gt;0,Gradesheet!L976,Gradesheet!AR976)</f>
        <v>0</v>
      </c>
      <c r="F948" s="145">
        <f>IF(Outline!$C$14&gt;0,Gradesheet!AZ976,"NA")</f>
        <v>0</v>
      </c>
      <c r="G948" s="145">
        <f>IF(Outline!$C$14&gt;0,Gradesheet!U946,Gradesheet!AY946)</f>
        <v>0</v>
      </c>
      <c r="H948" s="146">
        <f t="shared" si="15"/>
        <v>0</v>
      </c>
    </row>
    <row r="949" spans="2:8" hidden="1" x14ac:dyDescent="0.25">
      <c r="B949" s="90">
        <f>Gradesheet!A977</f>
        <v>23</v>
      </c>
      <c r="C949" s="91">
        <f>(Gradesheet!B977)</f>
        <v>0</v>
      </c>
      <c r="D949" s="92">
        <f>IF(Outline!$C$14&gt;0,Gradesheet!AD977,Gradesheet!AK977)</f>
        <v>0</v>
      </c>
      <c r="E949" s="145">
        <f>IF(Outline!$C$14&gt;0,Gradesheet!L977,Gradesheet!AR977)</f>
        <v>0</v>
      </c>
      <c r="F949" s="145">
        <f>IF(Outline!$C$14&gt;0,Gradesheet!AZ977,"NA")</f>
        <v>0</v>
      </c>
      <c r="G949" s="145">
        <f>IF(Outline!$C$14&gt;0,Gradesheet!U947,Gradesheet!AY947)</f>
        <v>0</v>
      </c>
      <c r="H949" s="146">
        <f t="shared" si="15"/>
        <v>0</v>
      </c>
    </row>
    <row r="950" spans="2:8" hidden="1" x14ac:dyDescent="0.25">
      <c r="B950" s="90">
        <f>Gradesheet!A978</f>
        <v>24</v>
      </c>
      <c r="C950" s="91">
        <f>(Gradesheet!B978)</f>
        <v>0</v>
      </c>
      <c r="D950" s="92">
        <f>IF(Outline!$C$14&gt;0,Gradesheet!AD978,Gradesheet!AK978)</f>
        <v>0</v>
      </c>
      <c r="E950" s="145">
        <f>IF(Outline!$C$14&gt;0,Gradesheet!L978,Gradesheet!AR978)</f>
        <v>0</v>
      </c>
      <c r="F950" s="145">
        <f>IF(Outline!$C$14&gt;0,Gradesheet!AZ978,"NA")</f>
        <v>0</v>
      </c>
      <c r="G950" s="145">
        <f>IF(Outline!$C$14&gt;0,Gradesheet!U948,Gradesheet!AY948)</f>
        <v>0</v>
      </c>
      <c r="H950" s="146">
        <f t="shared" si="15"/>
        <v>0</v>
      </c>
    </row>
    <row r="951" spans="2:8" hidden="1" x14ac:dyDescent="0.25">
      <c r="B951" s="90">
        <f>Gradesheet!A979</f>
        <v>25</v>
      </c>
      <c r="C951" s="91">
        <f>(Gradesheet!B979)</f>
        <v>0</v>
      </c>
      <c r="D951" s="92">
        <f>IF(Outline!$C$14&gt;0,Gradesheet!AD979,Gradesheet!AK979)</f>
        <v>0</v>
      </c>
      <c r="E951" s="145">
        <f>IF(Outline!$C$14&gt;0,Gradesheet!L979,Gradesheet!AR979)</f>
        <v>0</v>
      </c>
      <c r="F951" s="145">
        <f>IF(Outline!$C$14&gt;0,Gradesheet!AZ979,"NA")</f>
        <v>0</v>
      </c>
      <c r="G951" s="145">
        <f>IF(Outline!$C$14&gt;0,Gradesheet!U949,Gradesheet!AY949)</f>
        <v>0</v>
      </c>
      <c r="H951" s="146">
        <f t="shared" si="15"/>
        <v>0</v>
      </c>
    </row>
    <row r="952" spans="2:8" hidden="1" x14ac:dyDescent="0.25">
      <c r="B952" s="90">
        <f>Gradesheet!A980</f>
        <v>26</v>
      </c>
      <c r="C952" s="91">
        <f>(Gradesheet!B980)</f>
        <v>0</v>
      </c>
      <c r="D952" s="92">
        <f>IF(Outline!$C$14&gt;0,Gradesheet!AD980,Gradesheet!AK980)</f>
        <v>0</v>
      </c>
      <c r="E952" s="145">
        <f>IF(Outline!$C$14&gt;0,Gradesheet!L980,Gradesheet!AR980)</f>
        <v>0</v>
      </c>
      <c r="F952" s="145">
        <f>IF(Outline!$C$14&gt;0,Gradesheet!AZ980,"NA")</f>
        <v>0</v>
      </c>
      <c r="G952" s="145">
        <f>IF(Outline!$C$14&gt;0,Gradesheet!U950,Gradesheet!AY950)</f>
        <v>0</v>
      </c>
      <c r="H952" s="146">
        <f t="shared" si="15"/>
        <v>0</v>
      </c>
    </row>
    <row r="953" spans="2:8" hidden="1" x14ac:dyDescent="0.25">
      <c r="B953" s="90">
        <f>Gradesheet!A981</f>
        <v>27</v>
      </c>
      <c r="C953" s="91">
        <f>(Gradesheet!B981)</f>
        <v>0</v>
      </c>
      <c r="D953" s="92">
        <f>IF(Outline!$C$14&gt;0,Gradesheet!AD981,Gradesheet!AK981)</f>
        <v>0</v>
      </c>
      <c r="E953" s="145">
        <f>IF(Outline!$C$14&gt;0,Gradesheet!L981,Gradesheet!AR981)</f>
        <v>0</v>
      </c>
      <c r="F953" s="145">
        <f>IF(Outline!$C$14&gt;0,Gradesheet!AZ981,"NA")</f>
        <v>0</v>
      </c>
      <c r="G953" s="145">
        <f>IF(Outline!$C$14&gt;0,Gradesheet!U951,Gradesheet!AY951)</f>
        <v>0</v>
      </c>
      <c r="H953" s="146">
        <f t="shared" si="15"/>
        <v>0</v>
      </c>
    </row>
    <row r="954" spans="2:8" hidden="1" x14ac:dyDescent="0.25">
      <c r="B954" s="90">
        <f>Gradesheet!A982</f>
        <v>28</v>
      </c>
      <c r="C954" s="91">
        <f>(Gradesheet!B982)</f>
        <v>0</v>
      </c>
      <c r="D954" s="92">
        <f>IF(Outline!$C$14&gt;0,Gradesheet!AD982,Gradesheet!AK982)</f>
        <v>0</v>
      </c>
      <c r="E954" s="145">
        <f>IF(Outline!$C$14&gt;0,Gradesheet!L982,Gradesheet!AR982)</f>
        <v>0</v>
      </c>
      <c r="F954" s="145">
        <f>IF(Outline!$C$14&gt;0,Gradesheet!AZ982,"NA")</f>
        <v>0</v>
      </c>
      <c r="G954" s="145">
        <f>IF(Outline!$C$14&gt;0,Gradesheet!U952,Gradesheet!AY952)</f>
        <v>0</v>
      </c>
      <c r="H954" s="146">
        <f t="shared" si="15"/>
        <v>0</v>
      </c>
    </row>
    <row r="955" spans="2:8" hidden="1" x14ac:dyDescent="0.25">
      <c r="B955" s="90">
        <f>Gradesheet!A983</f>
        <v>29</v>
      </c>
      <c r="C955" s="91">
        <f>(Gradesheet!B983)</f>
        <v>0</v>
      </c>
      <c r="D955" s="92">
        <f>IF(Outline!$C$14&gt;0,Gradesheet!AD983,Gradesheet!AK983)</f>
        <v>0</v>
      </c>
      <c r="E955" s="145">
        <f>IF(Outline!$C$14&gt;0,Gradesheet!L983,Gradesheet!AR983)</f>
        <v>0</v>
      </c>
      <c r="F955" s="145">
        <f>IF(Outline!$C$14&gt;0,Gradesheet!AZ983,"NA")</f>
        <v>0</v>
      </c>
      <c r="G955" s="145">
        <f>IF(Outline!$C$14&gt;0,Gradesheet!U953,Gradesheet!AY953)</f>
        <v>0</v>
      </c>
      <c r="H955" s="146">
        <f t="shared" si="15"/>
        <v>0</v>
      </c>
    </row>
    <row r="956" spans="2:8" hidden="1" x14ac:dyDescent="0.25">
      <c r="B956" s="90">
        <f>Gradesheet!A984</f>
        <v>30</v>
      </c>
      <c r="C956" s="91">
        <f>(Gradesheet!B984)</f>
        <v>0</v>
      </c>
      <c r="D956" s="92">
        <f>IF(Outline!$C$14&gt;0,Gradesheet!AD984,Gradesheet!AK984)</f>
        <v>0</v>
      </c>
      <c r="E956" s="145">
        <f>IF(Outline!$C$14&gt;0,Gradesheet!L984,Gradesheet!AR984)</f>
        <v>0</v>
      </c>
      <c r="F956" s="145">
        <f>IF(Outline!$C$14&gt;0,Gradesheet!AZ984,"NA")</f>
        <v>0</v>
      </c>
      <c r="G956" s="145">
        <f>IF(Outline!$C$14&gt;0,Gradesheet!U954,Gradesheet!AY954)</f>
        <v>0</v>
      </c>
      <c r="H956" s="146">
        <f t="shared" si="15"/>
        <v>0</v>
      </c>
    </row>
    <row r="957" spans="2:8" hidden="1" x14ac:dyDescent="0.25">
      <c r="B957" s="90">
        <f>Gradesheet!A985</f>
        <v>31</v>
      </c>
      <c r="C957" s="91">
        <f>(Gradesheet!B985)</f>
        <v>0</v>
      </c>
      <c r="D957" s="92">
        <f>IF(Outline!$C$14&gt;0,Gradesheet!AD985,Gradesheet!AK985)</f>
        <v>0</v>
      </c>
      <c r="E957" s="145">
        <f>IF(Outline!$C$14&gt;0,Gradesheet!L985,Gradesheet!AR985)</f>
        <v>0</v>
      </c>
      <c r="F957" s="145">
        <f>IF(Outline!$C$14&gt;0,Gradesheet!AZ985,"NA")</f>
        <v>0</v>
      </c>
      <c r="G957" s="145">
        <f>IF(Outline!$C$14&gt;0,Gradesheet!U955,Gradesheet!AY955)</f>
        <v>0</v>
      </c>
      <c r="H957" s="146">
        <f t="shared" si="15"/>
        <v>0</v>
      </c>
    </row>
    <row r="958" spans="2:8" hidden="1" x14ac:dyDescent="0.25">
      <c r="B958" s="90">
        <f>Gradesheet!A986</f>
        <v>32</v>
      </c>
      <c r="C958" s="91">
        <f>(Gradesheet!B986)</f>
        <v>0</v>
      </c>
      <c r="D958" s="92">
        <f>IF(Outline!$C$14&gt;0,Gradesheet!AD986,Gradesheet!AK986)</f>
        <v>0</v>
      </c>
      <c r="E958" s="145">
        <f>IF(Outline!$C$14&gt;0,Gradesheet!L986,Gradesheet!AR986)</f>
        <v>0</v>
      </c>
      <c r="F958" s="145">
        <f>IF(Outline!$C$14&gt;0,Gradesheet!AZ986,"NA")</f>
        <v>0</v>
      </c>
      <c r="G958" s="145">
        <f>IF(Outline!$C$14&gt;0,Gradesheet!U956,Gradesheet!AY956)</f>
        <v>0</v>
      </c>
      <c r="H958" s="146">
        <f t="shared" si="15"/>
        <v>0</v>
      </c>
    </row>
    <row r="959" spans="2:8" hidden="1" x14ac:dyDescent="0.25">
      <c r="B959" s="90">
        <f>Gradesheet!A987</f>
        <v>33</v>
      </c>
      <c r="C959" s="91">
        <f>(Gradesheet!B987)</f>
        <v>0</v>
      </c>
      <c r="D959" s="92">
        <f>IF(Outline!$C$14&gt;0,Gradesheet!AD987,Gradesheet!AK987)</f>
        <v>0</v>
      </c>
      <c r="E959" s="145">
        <f>IF(Outline!$C$14&gt;0,Gradesheet!L987,Gradesheet!AR987)</f>
        <v>0</v>
      </c>
      <c r="F959" s="145">
        <f>IF(Outline!$C$14&gt;0,Gradesheet!AZ987,"NA")</f>
        <v>0</v>
      </c>
      <c r="G959" s="145">
        <f>IF(Outline!$C$14&gt;0,Gradesheet!U957,Gradesheet!AY957)</f>
        <v>0</v>
      </c>
      <c r="H959" s="146">
        <f t="shared" si="15"/>
        <v>0</v>
      </c>
    </row>
    <row r="960" spans="2:8" hidden="1" x14ac:dyDescent="0.25">
      <c r="B960" s="90">
        <f>Gradesheet!A988</f>
        <v>34</v>
      </c>
      <c r="C960" s="91">
        <f>(Gradesheet!B988)</f>
        <v>0</v>
      </c>
      <c r="D960" s="92">
        <f>IF(Outline!$C$14&gt;0,Gradesheet!AD988,Gradesheet!AK988)</f>
        <v>0</v>
      </c>
      <c r="E960" s="145">
        <f>IF(Outline!$C$14&gt;0,Gradesheet!L988,Gradesheet!AR988)</f>
        <v>0</v>
      </c>
      <c r="F960" s="145">
        <f>IF(Outline!$C$14&gt;0,Gradesheet!AZ988,"NA")</f>
        <v>0</v>
      </c>
      <c r="G960" s="145">
        <f>IF(Outline!$C$14&gt;0,Gradesheet!U958,Gradesheet!AY958)</f>
        <v>0</v>
      </c>
      <c r="H960" s="146">
        <f t="shared" si="15"/>
        <v>0</v>
      </c>
    </row>
    <row r="961" spans="2:8" hidden="1" x14ac:dyDescent="0.25">
      <c r="B961" s="90">
        <f>Gradesheet!A989</f>
        <v>35</v>
      </c>
      <c r="C961" s="91">
        <f>(Gradesheet!B989)</f>
        <v>0</v>
      </c>
      <c r="D961" s="92">
        <f>IF(Outline!$C$14&gt;0,Gradesheet!AD989,Gradesheet!AK989)</f>
        <v>0</v>
      </c>
      <c r="E961" s="145">
        <f>IF(Outline!$C$14&gt;0,Gradesheet!L989,Gradesheet!AR989)</f>
        <v>0</v>
      </c>
      <c r="F961" s="145">
        <f>IF(Outline!$C$14&gt;0,Gradesheet!AZ989,"NA")</f>
        <v>0</v>
      </c>
      <c r="G961" s="145">
        <f>IF(Outline!$C$14&gt;0,Gradesheet!U959,Gradesheet!AY959)</f>
        <v>0</v>
      </c>
      <c r="H961" s="146">
        <f t="shared" si="15"/>
        <v>0</v>
      </c>
    </row>
    <row r="962" spans="2:8" hidden="1" x14ac:dyDescent="0.25">
      <c r="B962" s="90">
        <f>Gradesheet!A990</f>
        <v>36</v>
      </c>
      <c r="C962" s="91">
        <f>(Gradesheet!B990)</f>
        <v>0</v>
      </c>
      <c r="D962" s="92">
        <f>IF(Outline!$C$14&gt;0,Gradesheet!AD990,Gradesheet!AK990)</f>
        <v>0</v>
      </c>
      <c r="E962" s="145">
        <f>IF(Outline!$C$14&gt;0,Gradesheet!L990,Gradesheet!AR990)</f>
        <v>0</v>
      </c>
      <c r="F962" s="145">
        <f>IF(Outline!$C$14&gt;0,Gradesheet!AZ990,"NA")</f>
        <v>0</v>
      </c>
      <c r="G962" s="145">
        <f>IF(Outline!$C$14&gt;0,Gradesheet!U960,Gradesheet!AY960)</f>
        <v>0</v>
      </c>
      <c r="H962" s="146">
        <f t="shared" si="15"/>
        <v>0</v>
      </c>
    </row>
    <row r="963" spans="2:8" hidden="1" x14ac:dyDescent="0.25">
      <c r="B963" s="90">
        <f>Gradesheet!A991</f>
        <v>37</v>
      </c>
      <c r="C963" s="91">
        <f>(Gradesheet!B991)</f>
        <v>0</v>
      </c>
      <c r="D963" s="92">
        <f>IF(Outline!$C$14&gt;0,Gradesheet!AD991,Gradesheet!AK991)</f>
        <v>0</v>
      </c>
      <c r="E963" s="145">
        <f>IF(Outline!$C$14&gt;0,Gradesheet!L991,Gradesheet!AR991)</f>
        <v>0</v>
      </c>
      <c r="F963" s="145">
        <f>IF(Outline!$C$14&gt;0,Gradesheet!AZ991,"NA")</f>
        <v>0</v>
      </c>
      <c r="G963" s="145">
        <f>IF(Outline!$C$14&gt;0,Gradesheet!U961,Gradesheet!AY961)</f>
        <v>0</v>
      </c>
      <c r="H963" s="146">
        <f t="shared" si="15"/>
        <v>0</v>
      </c>
    </row>
    <row r="964" spans="2:8" hidden="1" x14ac:dyDescent="0.25">
      <c r="B964" s="90">
        <f>Gradesheet!A992</f>
        <v>38</v>
      </c>
      <c r="C964" s="91">
        <f>(Gradesheet!B992)</f>
        <v>0</v>
      </c>
      <c r="D964" s="92">
        <f>IF(Outline!$C$14&gt;0,Gradesheet!AD992,Gradesheet!AK992)</f>
        <v>0</v>
      </c>
      <c r="E964" s="145">
        <f>IF(Outline!$C$14&gt;0,Gradesheet!L992,Gradesheet!AR992)</f>
        <v>0</v>
      </c>
      <c r="F964" s="145">
        <f>IF(Outline!$C$14&gt;0,Gradesheet!AZ992,"NA")</f>
        <v>0</v>
      </c>
      <c r="G964" s="145">
        <f>IF(Outline!$C$14&gt;0,Gradesheet!U962,Gradesheet!AY962)</f>
        <v>0</v>
      </c>
      <c r="H964" s="146">
        <f t="shared" si="15"/>
        <v>0</v>
      </c>
    </row>
    <row r="965" spans="2:8" hidden="1" x14ac:dyDescent="0.25">
      <c r="B965" s="90">
        <f>Gradesheet!A993</f>
        <v>39</v>
      </c>
      <c r="C965" s="91">
        <f>(Gradesheet!B993)</f>
        <v>0</v>
      </c>
      <c r="D965" s="92">
        <f>IF(Outline!$C$14&gt;0,Gradesheet!AD993,Gradesheet!AK993)</f>
        <v>0</v>
      </c>
      <c r="E965" s="145">
        <f>IF(Outline!$C$14&gt;0,Gradesheet!L993,Gradesheet!AR993)</f>
        <v>0</v>
      </c>
      <c r="F965" s="145">
        <f>IF(Outline!$C$14&gt;0,Gradesheet!AZ993,"NA")</f>
        <v>0</v>
      </c>
      <c r="G965" s="145">
        <f>IF(Outline!$C$14&gt;0,Gradesheet!U963,Gradesheet!AY963)</f>
        <v>0</v>
      </c>
      <c r="H965" s="146">
        <f t="shared" si="15"/>
        <v>0</v>
      </c>
    </row>
    <row r="966" spans="2:8" hidden="1" x14ac:dyDescent="0.25">
      <c r="B966" s="90">
        <f>Gradesheet!A994</f>
        <v>40</v>
      </c>
      <c r="C966" s="91">
        <f>(Gradesheet!B994)</f>
        <v>0</v>
      </c>
      <c r="D966" s="92">
        <f>IF(Outline!$C$14&gt;0,Gradesheet!AD994,Gradesheet!AK994)</f>
        <v>0</v>
      </c>
      <c r="E966" s="145">
        <f>IF(Outline!$C$14&gt;0,Gradesheet!L994,Gradesheet!AR994)</f>
        <v>0</v>
      </c>
      <c r="F966" s="145">
        <f>IF(Outline!$C$14&gt;0,Gradesheet!AZ994,"NA")</f>
        <v>0</v>
      </c>
      <c r="G966" s="145">
        <f>IF(Outline!$C$14&gt;0,Gradesheet!U964,Gradesheet!AY964)</f>
        <v>0</v>
      </c>
      <c r="H966" s="146">
        <f t="shared" si="15"/>
        <v>0</v>
      </c>
    </row>
    <row r="967" spans="2:8" hidden="1" x14ac:dyDescent="0.25">
      <c r="B967" s="90">
        <f>Gradesheet!A995</f>
        <v>41</v>
      </c>
      <c r="C967" s="91">
        <f>(Gradesheet!B995)</f>
        <v>0</v>
      </c>
      <c r="D967" s="92">
        <f>IF(Outline!$C$14&gt;0,Gradesheet!AD995,Gradesheet!AK995)</f>
        <v>0</v>
      </c>
      <c r="E967" s="145">
        <f>IF(Outline!$C$14&gt;0,Gradesheet!L995,Gradesheet!AR995)</f>
        <v>0</v>
      </c>
      <c r="F967" s="145">
        <f>IF(Outline!$C$14&gt;0,Gradesheet!AZ995,"NA")</f>
        <v>0</v>
      </c>
      <c r="G967" s="145">
        <f>IF(Outline!$C$14&gt;0,Gradesheet!U965,Gradesheet!AY965)</f>
        <v>0</v>
      </c>
      <c r="H967" s="146">
        <f t="shared" ref="H967:H1000" si="16">SUM(D967:G967)</f>
        <v>0</v>
      </c>
    </row>
    <row r="968" spans="2:8" hidden="1" x14ac:dyDescent="0.25">
      <c r="B968" s="90">
        <f>Gradesheet!A996</f>
        <v>42</v>
      </c>
      <c r="C968" s="91">
        <f>(Gradesheet!B996)</f>
        <v>0</v>
      </c>
      <c r="D968" s="92">
        <f>IF(Outline!$C$14&gt;0,Gradesheet!AD996,Gradesheet!AK996)</f>
        <v>0</v>
      </c>
      <c r="E968" s="145">
        <f>IF(Outline!$C$14&gt;0,Gradesheet!L996,Gradesheet!AR996)</f>
        <v>0</v>
      </c>
      <c r="F968" s="145">
        <f>IF(Outline!$C$14&gt;0,Gradesheet!AZ996,"NA")</f>
        <v>0</v>
      </c>
      <c r="G968" s="145">
        <f>IF(Outline!$C$14&gt;0,Gradesheet!U966,Gradesheet!AY966)</f>
        <v>0</v>
      </c>
      <c r="H968" s="146">
        <f t="shared" si="16"/>
        <v>0</v>
      </c>
    </row>
    <row r="969" spans="2:8" hidden="1" x14ac:dyDescent="0.25">
      <c r="B969" s="90">
        <f>Gradesheet!A997</f>
        <v>0</v>
      </c>
      <c r="C969" s="91">
        <f>(Gradesheet!B997)</f>
        <v>0</v>
      </c>
      <c r="D969" s="92">
        <f>IF(Outline!$C$14&gt;0,Gradesheet!AD997,Gradesheet!AK997)</f>
        <v>0</v>
      </c>
      <c r="E969" s="145">
        <f>IF(Outline!$C$14&gt;0,Gradesheet!L997,Gradesheet!AR997)</f>
        <v>0</v>
      </c>
      <c r="F969" s="145">
        <f>IF(Outline!$C$14&gt;0,Gradesheet!AZ997,"NA")</f>
        <v>0</v>
      </c>
      <c r="G969" s="145">
        <f>IF(Outline!$C$14&gt;0,Gradesheet!U967,Gradesheet!AY967)</f>
        <v>0</v>
      </c>
      <c r="H969" s="146">
        <f t="shared" si="16"/>
        <v>0</v>
      </c>
    </row>
    <row r="970" spans="2:8" hidden="1" x14ac:dyDescent="0.25">
      <c r="B970" s="90">
        <f>Gradesheet!A998</f>
        <v>1</v>
      </c>
      <c r="C970" s="91">
        <f>(Gradesheet!B998)</f>
        <v>0</v>
      </c>
      <c r="D970" s="92">
        <f>IF(Outline!$C$14&gt;0,Gradesheet!AD998,Gradesheet!AK998)</f>
        <v>0</v>
      </c>
      <c r="E970" s="145">
        <f>IF(Outline!$C$14&gt;0,Gradesheet!L998,Gradesheet!AR998)</f>
        <v>0</v>
      </c>
      <c r="F970" s="145">
        <f>IF(Outline!$C$14&gt;0,Gradesheet!AZ998,"NA")</f>
        <v>0</v>
      </c>
      <c r="G970" s="145">
        <f>IF(Outline!$C$14&gt;0,Gradesheet!U968,Gradesheet!AY968)</f>
        <v>0</v>
      </c>
      <c r="H970" s="146">
        <f t="shared" si="16"/>
        <v>0</v>
      </c>
    </row>
    <row r="971" spans="2:8" hidden="1" x14ac:dyDescent="0.25">
      <c r="B971" s="90">
        <f>Gradesheet!A999</f>
        <v>2</v>
      </c>
      <c r="C971" s="91">
        <f>(Gradesheet!B999)</f>
        <v>0</v>
      </c>
      <c r="D971" s="92">
        <f>IF(Outline!$C$14&gt;0,Gradesheet!AD999,Gradesheet!AK999)</f>
        <v>0</v>
      </c>
      <c r="E971" s="145">
        <f>IF(Outline!$C$14&gt;0,Gradesheet!L999,Gradesheet!AR999)</f>
        <v>0</v>
      </c>
      <c r="F971" s="145">
        <f>IF(Outline!$C$14&gt;0,Gradesheet!AZ999,"NA")</f>
        <v>0</v>
      </c>
      <c r="G971" s="145">
        <f>IF(Outline!$C$14&gt;0,Gradesheet!U969,Gradesheet!AY969)</f>
        <v>0</v>
      </c>
      <c r="H971" s="146">
        <f t="shared" si="16"/>
        <v>0</v>
      </c>
    </row>
    <row r="972" spans="2:8" hidden="1" x14ac:dyDescent="0.25">
      <c r="B972" s="90">
        <f>Gradesheet!A1000</f>
        <v>3</v>
      </c>
      <c r="C972" s="91">
        <f>(Gradesheet!B1000)</f>
        <v>0</v>
      </c>
      <c r="D972" s="92">
        <f>IF(Outline!$C$14&gt;0,Gradesheet!AD1000,Gradesheet!AK1000)</f>
        <v>0</v>
      </c>
      <c r="E972" s="145">
        <f>IF(Outline!$C$14&gt;0,Gradesheet!L1000,Gradesheet!AR1000)</f>
        <v>0</v>
      </c>
      <c r="F972" s="145">
        <f>IF(Outline!$C$14&gt;0,Gradesheet!AZ1000,"NA")</f>
        <v>0</v>
      </c>
      <c r="G972" s="145">
        <f>IF(Outline!$C$14&gt;0,Gradesheet!U970,Gradesheet!AY970)</f>
        <v>0</v>
      </c>
      <c r="H972" s="146">
        <f t="shared" si="16"/>
        <v>0</v>
      </c>
    </row>
    <row r="973" spans="2:8" hidden="1" x14ac:dyDescent="0.25">
      <c r="B973" s="90">
        <f>Gradesheet!A1001</f>
        <v>4</v>
      </c>
      <c r="C973" s="91">
        <f>(Gradesheet!B1001)</f>
        <v>0</v>
      </c>
      <c r="D973" s="92">
        <f>IF(Outline!$C$14&gt;0,Gradesheet!AD1001,Gradesheet!AK1001)</f>
        <v>0</v>
      </c>
      <c r="E973" s="145">
        <f>IF(Outline!$C$14&gt;0,Gradesheet!L1001,Gradesheet!AR1001)</f>
        <v>0</v>
      </c>
      <c r="F973" s="145">
        <f>IF(Outline!$C$14&gt;0,Gradesheet!AZ1001,"NA")</f>
        <v>0</v>
      </c>
      <c r="G973" s="145">
        <f>IF(Outline!$C$14&gt;0,Gradesheet!U971,Gradesheet!AY971)</f>
        <v>0</v>
      </c>
      <c r="H973" s="146">
        <f t="shared" si="16"/>
        <v>0</v>
      </c>
    </row>
    <row r="974" spans="2:8" hidden="1" x14ac:dyDescent="0.25">
      <c r="B974" s="90">
        <f>Gradesheet!A1002</f>
        <v>0</v>
      </c>
      <c r="C974" s="91">
        <f>(Gradesheet!B1002)</f>
        <v>0</v>
      </c>
      <c r="D974" s="92">
        <f>IF(Outline!$C$14&gt;0,Gradesheet!AD1002,Gradesheet!AK1002)</f>
        <v>0</v>
      </c>
      <c r="E974" s="145">
        <f>IF(Outline!$C$14&gt;0,Gradesheet!L1002,Gradesheet!AR1002)</f>
        <v>0</v>
      </c>
      <c r="F974" s="145">
        <f>IF(Outline!$C$14&gt;0,Gradesheet!AZ1002,"NA")</f>
        <v>0</v>
      </c>
      <c r="G974" s="145">
        <f>IF(Outline!$C$14&gt;0,Gradesheet!U972,Gradesheet!AY972)</f>
        <v>0</v>
      </c>
      <c r="H974" s="146">
        <f t="shared" si="16"/>
        <v>0</v>
      </c>
    </row>
    <row r="975" spans="2:8" hidden="1" x14ac:dyDescent="0.25">
      <c r="B975" s="90">
        <f>Gradesheet!A1003</f>
        <v>0</v>
      </c>
      <c r="C975" s="91">
        <f>(Gradesheet!B1003)</f>
        <v>0</v>
      </c>
      <c r="D975" s="92">
        <f>IF(Outline!$C$14&gt;0,Gradesheet!AD1003,Gradesheet!AK1003)</f>
        <v>0</v>
      </c>
      <c r="E975" s="145">
        <f>IF(Outline!$C$14&gt;0,Gradesheet!L1003,Gradesheet!AR1003)</f>
        <v>0</v>
      </c>
      <c r="F975" s="145">
        <f>IF(Outline!$C$14&gt;0,Gradesheet!AZ1003,"NA")</f>
        <v>0</v>
      </c>
      <c r="G975" s="145">
        <f>IF(Outline!$C$14&gt;0,Gradesheet!U973,Gradesheet!AY973)</f>
        <v>0</v>
      </c>
      <c r="H975" s="146">
        <f t="shared" si="16"/>
        <v>0</v>
      </c>
    </row>
    <row r="976" spans="2:8" hidden="1" x14ac:dyDescent="0.25">
      <c r="B976" s="90">
        <f>Gradesheet!A1004</f>
        <v>0</v>
      </c>
      <c r="C976" s="91">
        <f>(Gradesheet!B1004)</f>
        <v>0</v>
      </c>
      <c r="D976" s="92">
        <f>IF(Outline!$C$14&gt;0,Gradesheet!AD1004,Gradesheet!AK1004)</f>
        <v>0</v>
      </c>
      <c r="E976" s="145">
        <f>IF(Outline!$C$14&gt;0,Gradesheet!L1004,Gradesheet!AR1004)</f>
        <v>0</v>
      </c>
      <c r="F976" s="145">
        <f>IF(Outline!$C$14&gt;0,Gradesheet!AZ1004,"NA")</f>
        <v>0</v>
      </c>
      <c r="G976" s="145">
        <f>IF(Outline!$C$14&gt;0,Gradesheet!U974,Gradesheet!AY974)</f>
        <v>0</v>
      </c>
      <c r="H976" s="146">
        <f t="shared" si="16"/>
        <v>0</v>
      </c>
    </row>
    <row r="977" spans="2:8" hidden="1" x14ac:dyDescent="0.25">
      <c r="B977" s="90">
        <f>Gradesheet!A1005</f>
        <v>0</v>
      </c>
      <c r="C977" s="91">
        <f>(Gradesheet!B1005)</f>
        <v>0</v>
      </c>
      <c r="D977" s="92">
        <f>IF(Outline!$C$14&gt;0,Gradesheet!AD1005,Gradesheet!AK1005)</f>
        <v>0</v>
      </c>
      <c r="E977" s="145">
        <f>IF(Outline!$C$14&gt;0,Gradesheet!L1005,Gradesheet!AR1005)</f>
        <v>0</v>
      </c>
      <c r="F977" s="145">
        <f>IF(Outline!$C$14&gt;0,Gradesheet!AZ1005,"NA")</f>
        <v>0</v>
      </c>
      <c r="G977" s="145">
        <f>IF(Outline!$C$14&gt;0,Gradesheet!U975,Gradesheet!AY975)</f>
        <v>0</v>
      </c>
      <c r="H977" s="146">
        <f t="shared" si="16"/>
        <v>0</v>
      </c>
    </row>
    <row r="978" spans="2:8" hidden="1" x14ac:dyDescent="0.25">
      <c r="B978" s="90">
        <f>Gradesheet!A1006</f>
        <v>0</v>
      </c>
      <c r="C978" s="91">
        <f>(Gradesheet!B1006)</f>
        <v>0</v>
      </c>
      <c r="D978" s="92">
        <f>IF(Outline!$C$14&gt;0,Gradesheet!AD1006,Gradesheet!AK1006)</f>
        <v>0</v>
      </c>
      <c r="E978" s="145">
        <f>IF(Outline!$C$14&gt;0,Gradesheet!L1006,Gradesheet!AR1006)</f>
        <v>0</v>
      </c>
      <c r="F978" s="145">
        <f>IF(Outline!$C$14&gt;0,Gradesheet!AZ1006,"NA")</f>
        <v>0</v>
      </c>
      <c r="G978" s="145">
        <f>IF(Outline!$C$14&gt;0,Gradesheet!U976,Gradesheet!AY976)</f>
        <v>0</v>
      </c>
      <c r="H978" s="146">
        <f t="shared" si="16"/>
        <v>0</v>
      </c>
    </row>
    <row r="979" spans="2:8" hidden="1" x14ac:dyDescent="0.25">
      <c r="B979" s="90">
        <f>Gradesheet!A1007</f>
        <v>0</v>
      </c>
      <c r="C979" s="91">
        <f>(Gradesheet!B1007)</f>
        <v>0</v>
      </c>
      <c r="D979" s="92">
        <f>IF(Outline!$C$14&gt;0,Gradesheet!AD1007,Gradesheet!AK1007)</f>
        <v>0</v>
      </c>
      <c r="E979" s="145">
        <f>IF(Outline!$C$14&gt;0,Gradesheet!L1007,Gradesheet!AR1007)</f>
        <v>0</v>
      </c>
      <c r="F979" s="145">
        <f>IF(Outline!$C$14&gt;0,Gradesheet!AZ1007,"NA")</f>
        <v>0</v>
      </c>
      <c r="G979" s="145">
        <f>IF(Outline!$C$14&gt;0,Gradesheet!U977,Gradesheet!AY977)</f>
        <v>0</v>
      </c>
      <c r="H979" s="146">
        <f t="shared" si="16"/>
        <v>0</v>
      </c>
    </row>
    <row r="980" spans="2:8" hidden="1" x14ac:dyDescent="0.25">
      <c r="B980" s="90">
        <f>Gradesheet!A1008</f>
        <v>0</v>
      </c>
      <c r="C980" s="91">
        <f>(Gradesheet!B1008)</f>
        <v>0</v>
      </c>
      <c r="D980" s="92">
        <f>IF(Outline!$C$14&gt;0,Gradesheet!AD1008,Gradesheet!AK1008)</f>
        <v>0</v>
      </c>
      <c r="E980" s="145">
        <f>IF(Outline!$C$14&gt;0,Gradesheet!L1008,Gradesheet!AR1008)</f>
        <v>0</v>
      </c>
      <c r="F980" s="145">
        <f>IF(Outline!$C$14&gt;0,Gradesheet!AZ1008,"NA")</f>
        <v>0</v>
      </c>
      <c r="G980" s="145">
        <f>IF(Outline!$C$14&gt;0,Gradesheet!U978,Gradesheet!AY978)</f>
        <v>0</v>
      </c>
      <c r="H980" s="146">
        <f t="shared" si="16"/>
        <v>0</v>
      </c>
    </row>
    <row r="981" spans="2:8" hidden="1" x14ac:dyDescent="0.25">
      <c r="B981" s="90">
        <f>Gradesheet!A1009</f>
        <v>0</v>
      </c>
      <c r="C981" s="91">
        <f>(Gradesheet!B1009)</f>
        <v>0</v>
      </c>
      <c r="D981" s="92">
        <f>IF(Outline!$C$14&gt;0,Gradesheet!AD1009,Gradesheet!AK1009)</f>
        <v>0</v>
      </c>
      <c r="E981" s="145">
        <f>IF(Outline!$C$14&gt;0,Gradesheet!L1009,Gradesheet!AR1009)</f>
        <v>0</v>
      </c>
      <c r="F981" s="145">
        <f>IF(Outline!$C$14&gt;0,Gradesheet!AZ1009,"NA")</f>
        <v>0</v>
      </c>
      <c r="G981" s="145">
        <f>IF(Outline!$C$14&gt;0,Gradesheet!U979,Gradesheet!AY979)</f>
        <v>0</v>
      </c>
      <c r="H981" s="146">
        <f t="shared" si="16"/>
        <v>0</v>
      </c>
    </row>
    <row r="982" spans="2:8" hidden="1" x14ac:dyDescent="0.25">
      <c r="B982" s="90">
        <f>Gradesheet!A1010</f>
        <v>0</v>
      </c>
      <c r="C982" s="91">
        <f>(Gradesheet!B1010)</f>
        <v>0</v>
      </c>
      <c r="D982" s="92">
        <f>IF(Outline!$C$14&gt;0,Gradesheet!AD1010,Gradesheet!AK1010)</f>
        <v>0</v>
      </c>
      <c r="E982" s="145">
        <f>IF(Outline!$C$14&gt;0,Gradesheet!L1010,Gradesheet!AR1010)</f>
        <v>0</v>
      </c>
      <c r="F982" s="145">
        <f>IF(Outline!$C$14&gt;0,Gradesheet!AZ1010,"NA")</f>
        <v>0</v>
      </c>
      <c r="G982" s="145">
        <f>IF(Outline!$C$14&gt;0,Gradesheet!U980,Gradesheet!AY980)</f>
        <v>0</v>
      </c>
      <c r="H982" s="146">
        <f t="shared" si="16"/>
        <v>0</v>
      </c>
    </row>
    <row r="983" spans="2:8" hidden="1" x14ac:dyDescent="0.25">
      <c r="B983" s="90">
        <f>Gradesheet!A1011</f>
        <v>0</v>
      </c>
      <c r="C983" s="91">
        <f>(Gradesheet!B1011)</f>
        <v>0</v>
      </c>
      <c r="D983" s="92">
        <f>IF(Outline!$C$14&gt;0,Gradesheet!AD1011,Gradesheet!AK1011)</f>
        <v>0</v>
      </c>
      <c r="E983" s="145">
        <f>IF(Outline!$C$14&gt;0,Gradesheet!L1011,Gradesheet!AR1011)</f>
        <v>0</v>
      </c>
      <c r="F983" s="145">
        <f>IF(Outline!$C$14&gt;0,Gradesheet!AZ1011,"NA")</f>
        <v>0</v>
      </c>
      <c r="G983" s="145">
        <f>IF(Outline!$C$14&gt;0,Gradesheet!U981,Gradesheet!AY981)</f>
        <v>0</v>
      </c>
      <c r="H983" s="146">
        <f t="shared" si="16"/>
        <v>0</v>
      </c>
    </row>
    <row r="984" spans="2:8" hidden="1" x14ac:dyDescent="0.25">
      <c r="B984" s="90">
        <f>Gradesheet!A1012</f>
        <v>0</v>
      </c>
      <c r="C984" s="91">
        <f>(Gradesheet!B1012)</f>
        <v>0</v>
      </c>
      <c r="D984" s="92">
        <f>IF(Outline!$C$14&gt;0,Gradesheet!AD1012,Gradesheet!AK1012)</f>
        <v>0</v>
      </c>
      <c r="E984" s="145">
        <f>IF(Outline!$C$14&gt;0,Gradesheet!L1012,Gradesheet!AR1012)</f>
        <v>0</v>
      </c>
      <c r="F984" s="145">
        <f>IF(Outline!$C$14&gt;0,Gradesheet!AZ1012,"NA")</f>
        <v>0</v>
      </c>
      <c r="G984" s="145">
        <f>IF(Outline!$C$14&gt;0,Gradesheet!U982,Gradesheet!AY982)</f>
        <v>0</v>
      </c>
      <c r="H984" s="146">
        <f t="shared" si="16"/>
        <v>0</v>
      </c>
    </row>
    <row r="985" spans="2:8" hidden="1" x14ac:dyDescent="0.25">
      <c r="B985" s="90">
        <f>Gradesheet!A1013</f>
        <v>0</v>
      </c>
      <c r="C985" s="91">
        <f>(Gradesheet!B1013)</f>
        <v>0</v>
      </c>
      <c r="D985" s="92">
        <f>IF(Outline!$C$14&gt;0,Gradesheet!AD1013,Gradesheet!AK1013)</f>
        <v>0</v>
      </c>
      <c r="E985" s="145">
        <f>IF(Outline!$C$14&gt;0,Gradesheet!L1013,Gradesheet!AR1013)</f>
        <v>0</v>
      </c>
      <c r="F985" s="145">
        <f>IF(Outline!$C$14&gt;0,Gradesheet!AZ1013,"NA")</f>
        <v>0</v>
      </c>
      <c r="G985" s="145">
        <f>IF(Outline!$C$14&gt;0,Gradesheet!U983,Gradesheet!AY983)</f>
        <v>0</v>
      </c>
      <c r="H985" s="146">
        <f t="shared" si="16"/>
        <v>0</v>
      </c>
    </row>
    <row r="986" spans="2:8" hidden="1" x14ac:dyDescent="0.25">
      <c r="B986" s="90">
        <f>Gradesheet!A1014</f>
        <v>0</v>
      </c>
      <c r="C986" s="91">
        <f>(Gradesheet!B1014)</f>
        <v>0</v>
      </c>
      <c r="D986" s="92">
        <f>IF(Outline!$C$14&gt;0,Gradesheet!AD1014,Gradesheet!AK1014)</f>
        <v>0</v>
      </c>
      <c r="E986" s="145">
        <f>IF(Outline!$C$14&gt;0,Gradesheet!L1014,Gradesheet!AR1014)</f>
        <v>0</v>
      </c>
      <c r="F986" s="145">
        <f>IF(Outline!$C$14&gt;0,Gradesheet!AZ1014,"NA")</f>
        <v>0</v>
      </c>
      <c r="G986" s="145">
        <f>IF(Outline!$C$14&gt;0,Gradesheet!U984,Gradesheet!AY984)</f>
        <v>0</v>
      </c>
      <c r="H986" s="146">
        <f t="shared" si="16"/>
        <v>0</v>
      </c>
    </row>
    <row r="987" spans="2:8" hidden="1" x14ac:dyDescent="0.25">
      <c r="B987" s="90">
        <f>Gradesheet!A1015</f>
        <v>0</v>
      </c>
      <c r="C987" s="91">
        <f>(Gradesheet!B1015)</f>
        <v>0</v>
      </c>
      <c r="D987" s="92">
        <f>IF(Outline!$C$14&gt;0,Gradesheet!AD1015,Gradesheet!AK1015)</f>
        <v>0</v>
      </c>
      <c r="E987" s="145">
        <f>IF(Outline!$C$14&gt;0,Gradesheet!L1015,Gradesheet!AR1015)</f>
        <v>0</v>
      </c>
      <c r="F987" s="145">
        <f>IF(Outline!$C$14&gt;0,Gradesheet!AZ1015,"NA")</f>
        <v>0</v>
      </c>
      <c r="G987" s="145">
        <f>IF(Outline!$C$14&gt;0,Gradesheet!U985,Gradesheet!AY985)</f>
        <v>0</v>
      </c>
      <c r="H987" s="146">
        <f t="shared" si="16"/>
        <v>0</v>
      </c>
    </row>
    <row r="988" spans="2:8" hidden="1" x14ac:dyDescent="0.25">
      <c r="B988" s="90">
        <f>Gradesheet!A1016</f>
        <v>0</v>
      </c>
      <c r="C988" s="91">
        <f>(Gradesheet!B1016)</f>
        <v>0</v>
      </c>
      <c r="D988" s="92">
        <f>IF(Outline!$C$14&gt;0,Gradesheet!AD1016,Gradesheet!AK1016)</f>
        <v>0</v>
      </c>
      <c r="E988" s="145">
        <f>IF(Outline!$C$14&gt;0,Gradesheet!L1016,Gradesheet!AR1016)</f>
        <v>0</v>
      </c>
      <c r="F988" s="145">
        <f>IF(Outline!$C$14&gt;0,Gradesheet!AZ1016,"NA")</f>
        <v>0</v>
      </c>
      <c r="G988" s="145">
        <f>IF(Outline!$C$14&gt;0,Gradesheet!U986,Gradesheet!AY986)</f>
        <v>0</v>
      </c>
      <c r="H988" s="146">
        <f t="shared" si="16"/>
        <v>0</v>
      </c>
    </row>
    <row r="989" spans="2:8" hidden="1" x14ac:dyDescent="0.25">
      <c r="B989" s="90">
        <f>Gradesheet!A1017</f>
        <v>0</v>
      </c>
      <c r="C989" s="91">
        <f>(Gradesheet!B1017)</f>
        <v>0</v>
      </c>
      <c r="D989" s="92">
        <f>IF(Outline!$C$14&gt;0,Gradesheet!AD1017,Gradesheet!AK1017)</f>
        <v>0</v>
      </c>
      <c r="E989" s="145">
        <f>IF(Outline!$C$14&gt;0,Gradesheet!L1017,Gradesheet!AR1017)</f>
        <v>0</v>
      </c>
      <c r="F989" s="145">
        <f>IF(Outline!$C$14&gt;0,Gradesheet!AZ1017,"NA")</f>
        <v>0</v>
      </c>
      <c r="G989" s="145">
        <f>IF(Outline!$C$14&gt;0,Gradesheet!U987,Gradesheet!AY987)</f>
        <v>0</v>
      </c>
      <c r="H989" s="146">
        <f t="shared" si="16"/>
        <v>0</v>
      </c>
    </row>
    <row r="990" spans="2:8" hidden="1" x14ac:dyDescent="0.25">
      <c r="B990" s="90">
        <f>Gradesheet!A1018</f>
        <v>0</v>
      </c>
      <c r="C990" s="91">
        <f>(Gradesheet!B1018)</f>
        <v>0</v>
      </c>
      <c r="D990" s="92">
        <f>IF(Outline!$C$14&gt;0,Gradesheet!AD1018,Gradesheet!AK1018)</f>
        <v>0</v>
      </c>
      <c r="E990" s="145">
        <f>IF(Outline!$C$14&gt;0,Gradesheet!L1018,Gradesheet!AR1018)</f>
        <v>0</v>
      </c>
      <c r="F990" s="145">
        <f>IF(Outline!$C$14&gt;0,Gradesheet!AZ1018,"NA")</f>
        <v>0</v>
      </c>
      <c r="G990" s="145">
        <f>IF(Outline!$C$14&gt;0,Gradesheet!U988,Gradesheet!AY988)</f>
        <v>0</v>
      </c>
      <c r="H990" s="146">
        <f t="shared" si="16"/>
        <v>0</v>
      </c>
    </row>
    <row r="991" spans="2:8" hidden="1" x14ac:dyDescent="0.25">
      <c r="B991" s="90">
        <f>Gradesheet!A1019</f>
        <v>0</v>
      </c>
      <c r="C991" s="91">
        <f>(Gradesheet!B1019)</f>
        <v>0</v>
      </c>
      <c r="D991" s="92">
        <f>IF(Outline!$C$14&gt;0,Gradesheet!AD1019,Gradesheet!AK1019)</f>
        <v>0</v>
      </c>
      <c r="E991" s="145">
        <f>IF(Outline!$C$14&gt;0,Gradesheet!L1019,Gradesheet!AR1019)</f>
        <v>0</v>
      </c>
      <c r="F991" s="145">
        <f>IF(Outline!$C$14&gt;0,Gradesheet!AZ1019,"NA")</f>
        <v>0</v>
      </c>
      <c r="G991" s="145">
        <f>IF(Outline!$C$14&gt;0,Gradesheet!U989,Gradesheet!AY989)</f>
        <v>0</v>
      </c>
      <c r="H991" s="146">
        <f t="shared" si="16"/>
        <v>0</v>
      </c>
    </row>
    <row r="992" spans="2:8" hidden="1" x14ac:dyDescent="0.25">
      <c r="B992" s="90">
        <f>Gradesheet!A1020</f>
        <v>0</v>
      </c>
      <c r="C992" s="91">
        <f>(Gradesheet!B1020)</f>
        <v>0</v>
      </c>
      <c r="D992" s="92">
        <f>IF(Outline!$C$14&gt;0,Gradesheet!AD1020,Gradesheet!AK1020)</f>
        <v>0</v>
      </c>
      <c r="E992" s="145">
        <f>IF(Outline!$C$14&gt;0,Gradesheet!L1020,Gradesheet!AR1020)</f>
        <v>0</v>
      </c>
      <c r="F992" s="145">
        <f>IF(Outline!$C$14&gt;0,Gradesheet!AZ1020,"NA")</f>
        <v>0</v>
      </c>
      <c r="G992" s="145">
        <f>IF(Outline!$C$14&gt;0,Gradesheet!U990,Gradesheet!AY990)</f>
        <v>0</v>
      </c>
      <c r="H992" s="146">
        <f t="shared" si="16"/>
        <v>0</v>
      </c>
    </row>
    <row r="993" spans="2:8" hidden="1" x14ac:dyDescent="0.25">
      <c r="B993" s="90">
        <f>Gradesheet!A1021</f>
        <v>0</v>
      </c>
      <c r="C993" s="91">
        <f>(Gradesheet!B1021)</f>
        <v>0</v>
      </c>
      <c r="D993" s="92">
        <f>IF(Outline!$C$14&gt;0,Gradesheet!AD1021,Gradesheet!AK1021)</f>
        <v>0</v>
      </c>
      <c r="E993" s="145">
        <f>IF(Outline!$C$14&gt;0,Gradesheet!L1021,Gradesheet!AR1021)</f>
        <v>0</v>
      </c>
      <c r="F993" s="145">
        <f>IF(Outline!$C$14&gt;0,Gradesheet!AZ1021,"NA")</f>
        <v>0</v>
      </c>
      <c r="G993" s="145">
        <f>IF(Outline!$C$14&gt;0,Gradesheet!U991,Gradesheet!AY991)</f>
        <v>0</v>
      </c>
      <c r="H993" s="146">
        <f t="shared" si="16"/>
        <v>0</v>
      </c>
    </row>
    <row r="994" spans="2:8" hidden="1" x14ac:dyDescent="0.25">
      <c r="B994" s="90">
        <f>Gradesheet!A1022</f>
        <v>0</v>
      </c>
      <c r="C994" s="91">
        <f>(Gradesheet!B1022)</f>
        <v>0</v>
      </c>
      <c r="D994" s="92">
        <f>IF(Outline!$C$14&gt;0,Gradesheet!AD1022,Gradesheet!AK1022)</f>
        <v>0</v>
      </c>
      <c r="E994" s="145">
        <f>IF(Outline!$C$14&gt;0,Gradesheet!L1022,Gradesheet!AR1022)</f>
        <v>0</v>
      </c>
      <c r="F994" s="145">
        <f>IF(Outline!$C$14&gt;0,Gradesheet!AZ1022,"NA")</f>
        <v>0</v>
      </c>
      <c r="G994" s="145">
        <f>IF(Outline!$C$14&gt;0,Gradesheet!U992,Gradesheet!AY992)</f>
        <v>0</v>
      </c>
      <c r="H994" s="146">
        <f t="shared" si="16"/>
        <v>0</v>
      </c>
    </row>
    <row r="995" spans="2:8" hidden="1" x14ac:dyDescent="0.25">
      <c r="B995" s="90">
        <f>Gradesheet!A1023</f>
        <v>0</v>
      </c>
      <c r="C995" s="91">
        <f>(Gradesheet!B1023)</f>
        <v>0</v>
      </c>
      <c r="D995" s="92">
        <f>IF(Outline!$C$14&gt;0,Gradesheet!AD1023,Gradesheet!AK1023)</f>
        <v>0</v>
      </c>
      <c r="E995" s="145">
        <f>IF(Outline!$C$14&gt;0,Gradesheet!L1023,Gradesheet!AR1023)</f>
        <v>0</v>
      </c>
      <c r="F995" s="145">
        <f>IF(Outline!$C$14&gt;0,Gradesheet!AZ1023,"NA")</f>
        <v>0</v>
      </c>
      <c r="G995" s="145">
        <f>IF(Outline!$C$14&gt;0,Gradesheet!U993,Gradesheet!AY993)</f>
        <v>0</v>
      </c>
      <c r="H995" s="146">
        <f t="shared" si="16"/>
        <v>0</v>
      </c>
    </row>
    <row r="996" spans="2:8" hidden="1" x14ac:dyDescent="0.25">
      <c r="B996" s="90">
        <f>Gradesheet!A1024</f>
        <v>0</v>
      </c>
      <c r="C996" s="91">
        <f>(Gradesheet!B1024)</f>
        <v>0</v>
      </c>
      <c r="D996" s="92">
        <f>IF(Outline!$C$14&gt;0,Gradesheet!AD1024,Gradesheet!AK1024)</f>
        <v>0</v>
      </c>
      <c r="E996" s="145">
        <f>IF(Outline!$C$14&gt;0,Gradesheet!L1024,Gradesheet!AR1024)</f>
        <v>0</v>
      </c>
      <c r="F996" s="145">
        <f>IF(Outline!$C$14&gt;0,Gradesheet!AZ1024,"NA")</f>
        <v>0</v>
      </c>
      <c r="G996" s="145">
        <f>IF(Outline!$C$14&gt;0,Gradesheet!U994,Gradesheet!AY994)</f>
        <v>0</v>
      </c>
      <c r="H996" s="146">
        <f t="shared" si="16"/>
        <v>0</v>
      </c>
    </row>
    <row r="997" spans="2:8" hidden="1" x14ac:dyDescent="0.25">
      <c r="B997" s="90">
        <f>Gradesheet!A1025</f>
        <v>0</v>
      </c>
      <c r="C997" s="91">
        <f>(Gradesheet!B1025)</f>
        <v>0</v>
      </c>
      <c r="D997" s="92">
        <f>IF(Outline!$C$14&gt;0,Gradesheet!AD1025,Gradesheet!AK1025)</f>
        <v>0</v>
      </c>
      <c r="E997" s="145">
        <f>IF(Outline!$C$14&gt;0,Gradesheet!L1025,Gradesheet!AR1025)</f>
        <v>0</v>
      </c>
      <c r="F997" s="145">
        <f>IF(Outline!$C$14&gt;0,Gradesheet!AZ1025,"NA")</f>
        <v>0</v>
      </c>
      <c r="G997" s="145">
        <f>IF(Outline!$C$14&gt;0,Gradesheet!U995,Gradesheet!AY995)</f>
        <v>0</v>
      </c>
      <c r="H997" s="146">
        <f t="shared" si="16"/>
        <v>0</v>
      </c>
    </row>
    <row r="998" spans="2:8" hidden="1" x14ac:dyDescent="0.25">
      <c r="B998" s="90">
        <f>Gradesheet!A1026</f>
        <v>0</v>
      </c>
      <c r="C998" s="91">
        <f>(Gradesheet!B1026)</f>
        <v>0</v>
      </c>
      <c r="D998" s="92">
        <f>IF(Outline!$C$14&gt;0,Gradesheet!AD1026,Gradesheet!AK1026)</f>
        <v>0</v>
      </c>
      <c r="E998" s="145">
        <f>IF(Outline!$C$14&gt;0,Gradesheet!L1026,Gradesheet!AR1026)</f>
        <v>0</v>
      </c>
      <c r="F998" s="145">
        <f>IF(Outline!$C$14&gt;0,Gradesheet!AZ1026,"NA")</f>
        <v>0</v>
      </c>
      <c r="G998" s="145">
        <f>IF(Outline!$C$14&gt;0,Gradesheet!U996,Gradesheet!AY996)</f>
        <v>0</v>
      </c>
      <c r="H998" s="146">
        <f t="shared" si="16"/>
        <v>0</v>
      </c>
    </row>
    <row r="999" spans="2:8" hidden="1" x14ac:dyDescent="0.25">
      <c r="B999" s="90">
        <f>Gradesheet!A1027</f>
        <v>0</v>
      </c>
      <c r="C999" s="91">
        <f>(Gradesheet!B1027)</f>
        <v>0</v>
      </c>
      <c r="D999" s="92">
        <f>IF(Outline!$C$14&gt;0,Gradesheet!AD1027,Gradesheet!AK1027)</f>
        <v>0</v>
      </c>
      <c r="E999" s="145">
        <f>IF(Outline!$C$14&gt;0,Gradesheet!L1027,Gradesheet!AR1027)</f>
        <v>0</v>
      </c>
      <c r="F999" s="145">
        <f>IF(Outline!$C$14&gt;0,Gradesheet!AZ1027,"NA")</f>
        <v>0</v>
      </c>
      <c r="G999" s="145">
        <f>IF(Outline!$C$14&gt;0,Gradesheet!U997,Gradesheet!AY997)</f>
        <v>0</v>
      </c>
      <c r="H999" s="146">
        <f t="shared" si="16"/>
        <v>0</v>
      </c>
    </row>
    <row r="1000" spans="2:8" hidden="1" x14ac:dyDescent="0.25">
      <c r="B1000" s="90">
        <f>Gradesheet!A1028</f>
        <v>0</v>
      </c>
      <c r="C1000" s="91">
        <f>(Gradesheet!B1028)</f>
        <v>0</v>
      </c>
      <c r="D1000" s="92">
        <f>IF(Outline!$C$14&gt;0,Gradesheet!AD1028,Gradesheet!AK1028)</f>
        <v>0</v>
      </c>
      <c r="E1000" s="145">
        <f>IF(Outline!$C$14&gt;0,Gradesheet!L1028,Gradesheet!AR1028)</f>
        <v>0</v>
      </c>
      <c r="F1000" s="145">
        <f>IF(Outline!$C$14&gt;0,Gradesheet!AZ1028,"NA")</f>
        <v>0</v>
      </c>
      <c r="G1000" s="145">
        <f>IF(Outline!$C$14&gt;0,Gradesheet!U998,Gradesheet!AY998)</f>
        <v>0</v>
      </c>
      <c r="H1000" s="146">
        <f t="shared" si="16"/>
        <v>0</v>
      </c>
    </row>
  </sheetData>
  <mergeCells count="12">
    <mergeCell ref="D4:H4"/>
    <mergeCell ref="A1:H1"/>
    <mergeCell ref="A2:H2"/>
    <mergeCell ref="A3:H3"/>
    <mergeCell ref="B4:C4"/>
    <mergeCell ref="B9:B10"/>
    <mergeCell ref="C9:C10"/>
    <mergeCell ref="F6:H6"/>
    <mergeCell ref="B5:E5"/>
    <mergeCell ref="B6:E6"/>
    <mergeCell ref="B7:E7"/>
    <mergeCell ref="F5:H5"/>
  </mergeCells>
  <pageMargins left="0.7" right="0.7" top="0.75" bottom="0.75" header="0.3" footer="0.3"/>
  <pageSetup paperSize="9" orientation="portrait" r:id="rId1"/>
  <headerFooter>
    <oddFooter>&amp;LTeacher's Signature: ________________&amp;CPage &amp;P of &amp;N&amp;RChairman Signature: _______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4:N53"/>
  <sheetViews>
    <sheetView workbookViewId="0">
      <selection activeCell="C5" sqref="C5"/>
    </sheetView>
  </sheetViews>
  <sheetFormatPr defaultRowHeight="15" x14ac:dyDescent="0.25"/>
  <cols>
    <col min="2" max="2" width="28.42578125" customWidth="1"/>
  </cols>
  <sheetData>
    <row r="4" spans="1:14" ht="16.5" thickBot="1" x14ac:dyDescent="0.3">
      <c r="A4" s="84" t="s">
        <v>101</v>
      </c>
      <c r="B4" s="84" t="s">
        <v>2</v>
      </c>
      <c r="C4" s="85" t="s">
        <v>109</v>
      </c>
      <c r="D4" s="85" t="s">
        <v>118</v>
      </c>
      <c r="E4" s="85" t="s">
        <v>119</v>
      </c>
      <c r="F4" s="85" t="s">
        <v>110</v>
      </c>
      <c r="G4" s="85" t="s">
        <v>111</v>
      </c>
      <c r="H4" s="85" t="s">
        <v>112</v>
      </c>
      <c r="I4" s="85" t="s">
        <v>113</v>
      </c>
      <c r="J4" s="85" t="s">
        <v>114</v>
      </c>
      <c r="K4" s="85" t="s">
        <v>120</v>
      </c>
      <c r="L4" s="85" t="s">
        <v>115</v>
      </c>
      <c r="M4" s="85" t="s">
        <v>116</v>
      </c>
      <c r="N4" s="85" t="s">
        <v>117</v>
      </c>
    </row>
    <row r="5" spans="1:14" ht="16.5" thickBot="1" x14ac:dyDescent="0.3">
      <c r="A5" s="88" t="str">
        <f>(Gradesheet!B9)</f>
        <v>18CS01</v>
      </c>
      <c r="B5" s="89">
        <f>Gradesheet!C9</f>
        <v>0</v>
      </c>
      <c r="C5" s="87" t="e">
        <f>IF(VLOOKUP(A5,#REF!,3,FALSE)="", "X",IF(VLOOKUP(A5,#REF!,3,FALSE)&gt;50,"Y","N"))</f>
        <v>#REF!</v>
      </c>
      <c r="D5" s="87" t="e">
        <f>IF(VLOOKUP(A5,#REF!,4,FALSE)= "", "X",IF(VLOOKUP(A5,#REF!,4,FALSE)&gt;50,"Y","N"))</f>
        <v>#REF!</v>
      </c>
      <c r="E5" s="87" t="e">
        <f>IF(VLOOKUP(A5,#REF!,5,FALSE)= "", "X",IF(VLOOKUP(A5,#REF!,5,FALSE)&gt;50,"Y","N"))</f>
        <v>#REF!</v>
      </c>
      <c r="F5" s="87" t="e">
        <f>IF(VLOOKUP(A5,#REF!,6,FALSE)= "", "X",IF(VLOOKUP(A5,#REF!,6,FALSE)&gt;50,"Y","N"))</f>
        <v>#REF!</v>
      </c>
      <c r="G5" s="87" t="e">
        <f>IF(VLOOKUP(A5,#REF!,7,FALSE)= "", "X",IF(VLOOKUP(A5,#REF!,7,FALSE)&gt;50,"Y","N"))</f>
        <v>#REF!</v>
      </c>
      <c r="H5" s="87" t="e">
        <f>IF(VLOOKUP(A5,#REF!,8,FALSE)= "", "X",IF(VLOOKUP(A5,#REF!,8,FALSE)&gt;50,"Y","N"))</f>
        <v>#REF!</v>
      </c>
      <c r="I5" s="87" t="e">
        <f>IF(VLOOKUP(A5,#REF!,9,FALSE)= "", "X",IF(VLOOKUP(A5,#REF!,9,FALSE)&gt;50,"Y","N"))</f>
        <v>#REF!</v>
      </c>
      <c r="J5" s="87" t="e">
        <f>IF(VLOOKUP(A5,#REF!,10,FALSE)= "", "X",IF(VLOOKUP(A5,#REF!,10,FALSE)&gt;50,"Y","N"))</f>
        <v>#REF!</v>
      </c>
      <c r="K5" s="87" t="e">
        <f>IF(VLOOKUP(A5,#REF!,11,FALSE)= "", "X",IF(VLOOKUP(A5,#REF!,11,FALSE)&gt;50,"Y","N"))</f>
        <v>#REF!</v>
      </c>
      <c r="L5" s="87" t="e">
        <f>IF(VLOOKUP(A5,#REF!,12,FALSE)= "", "X",IF(VLOOKUP(A5,#REF!,12,FALSE)&gt;50,"Y","N"))</f>
        <v>#REF!</v>
      </c>
      <c r="M5" s="87" t="e">
        <f>IF(VLOOKUP(A5,#REF!,13,FALSE)= "", "X",IF(VLOOKUP(A5,#REF!,13,FALSE)&gt;50,"Y","N"))</f>
        <v>#REF!</v>
      </c>
      <c r="N5" s="87" t="e">
        <f>IF(VLOOKUP(A5,#REF!,14,FALSE)= "", "X",IF(VLOOKUP(A5,#REF!,14,FALSE)&gt;50,"Y","N"))</f>
        <v>#REF!</v>
      </c>
    </row>
    <row r="6" spans="1:14" ht="16.5" thickBot="1" x14ac:dyDescent="0.3">
      <c r="A6" s="88" t="str">
        <f>(Gradesheet!B10)</f>
        <v>18CS03</v>
      </c>
      <c r="B6" s="89">
        <f>Gradesheet!C10</f>
        <v>0</v>
      </c>
      <c r="C6" s="87" t="e">
        <f>IF(VLOOKUP(A6,#REF!,3,FALSE)="", "X",IF(VLOOKUP(A6,#REF!,3,FALSE)&gt;50,"Y","N"))</f>
        <v>#REF!</v>
      </c>
      <c r="D6" s="87" t="e">
        <f>IF(VLOOKUP(A6,#REF!,4,FALSE)= "", "X",IF(VLOOKUP(A6,#REF!,4,FALSE)&gt;50,"Y","N"))</f>
        <v>#REF!</v>
      </c>
      <c r="E6" s="87" t="e">
        <f>IF(VLOOKUP(A6,#REF!,5,FALSE)= "", "X",IF(VLOOKUP(A6,#REF!,5,FALSE)&gt;50,"Y","N"))</f>
        <v>#REF!</v>
      </c>
      <c r="F6" s="87" t="e">
        <f>IF(VLOOKUP(A6,#REF!,6,FALSE)= "", "X",IF(VLOOKUP(A6,#REF!,6,FALSE)&gt;50,"Y","N"))</f>
        <v>#REF!</v>
      </c>
      <c r="G6" s="87" t="e">
        <f>IF(VLOOKUP(A6,#REF!,7,FALSE)= "", "X",IF(VLOOKUP(A6,#REF!,7,FALSE)&gt;50,"Y","N"))</f>
        <v>#REF!</v>
      </c>
      <c r="H6" s="87" t="e">
        <f>IF(VLOOKUP(A6,#REF!,8,FALSE)= "", "X",IF(VLOOKUP(A6,#REF!,8,FALSE)&gt;50,"Y","N"))</f>
        <v>#REF!</v>
      </c>
      <c r="I6" s="87" t="e">
        <f>IF(VLOOKUP(A6,#REF!,9,FALSE)= "", "X",IF(VLOOKUP(A6,#REF!,9,FALSE)&gt;50,"Y","N"))</f>
        <v>#REF!</v>
      </c>
      <c r="J6" s="87" t="e">
        <f>IF(VLOOKUP(A6,#REF!,10,FALSE)= "", "X",IF(VLOOKUP(A6,#REF!,10,FALSE)&gt;50,"Y","N"))</f>
        <v>#REF!</v>
      </c>
      <c r="K6" s="87" t="e">
        <f>IF(VLOOKUP(A6,#REF!,11,FALSE)= "", "X",IF(VLOOKUP(A6,#REF!,11,FALSE)&gt;50,"Y","N"))</f>
        <v>#REF!</v>
      </c>
      <c r="L6" s="87" t="e">
        <f>IF(VLOOKUP(A6,#REF!,12,FALSE)= "", "X",IF(VLOOKUP(A6,#REF!,12,FALSE)&gt;50,"Y","N"))</f>
        <v>#REF!</v>
      </c>
      <c r="M6" s="87" t="e">
        <f>IF(VLOOKUP(A6,#REF!,13,FALSE)= "", "X",IF(VLOOKUP(A6,#REF!,13,FALSE)&gt;50,"Y","N"))</f>
        <v>#REF!</v>
      </c>
      <c r="N6" s="87" t="e">
        <f>IF(VLOOKUP(A6,#REF!,14,FALSE)= "", "X",IF(VLOOKUP(A6,#REF!,14,FALSE)&gt;50,"Y","N"))</f>
        <v>#REF!</v>
      </c>
    </row>
    <row r="7" spans="1:14" ht="16.5" thickBot="1" x14ac:dyDescent="0.3">
      <c r="A7" s="88" t="str">
        <f>(Gradesheet!B11)</f>
        <v>18CS04</v>
      </c>
      <c r="B7" s="89">
        <f>Gradesheet!C11</f>
        <v>0</v>
      </c>
      <c r="C7" s="87" t="e">
        <f>IF(VLOOKUP(A7,#REF!,3,FALSE)="", "X",IF(VLOOKUP(A7,#REF!,3,FALSE)&gt;50,"Y","N"))</f>
        <v>#REF!</v>
      </c>
      <c r="D7" s="87" t="e">
        <f>IF(VLOOKUP(A7,#REF!,4,FALSE)= "", "X",IF(VLOOKUP(A7,#REF!,4,FALSE)&gt;50,"Y","N"))</f>
        <v>#REF!</v>
      </c>
      <c r="E7" s="87" t="e">
        <f>IF(VLOOKUP(A7,#REF!,5,FALSE)= "", "X",IF(VLOOKUP(A7,#REF!,5,FALSE)&gt;50,"Y","N"))</f>
        <v>#REF!</v>
      </c>
      <c r="F7" s="87" t="e">
        <f>IF(VLOOKUP(A7,#REF!,6,FALSE)= "", "X",IF(VLOOKUP(A7,#REF!,6,FALSE)&gt;50,"Y","N"))</f>
        <v>#REF!</v>
      </c>
      <c r="G7" s="87" t="e">
        <f>IF(VLOOKUP(A7,#REF!,7,FALSE)= "", "X",IF(VLOOKUP(A7,#REF!,7,FALSE)&gt;50,"Y","N"))</f>
        <v>#REF!</v>
      </c>
      <c r="H7" s="87" t="e">
        <f>IF(VLOOKUP(A7,#REF!,8,FALSE)= "", "X",IF(VLOOKUP(A7,#REF!,8,FALSE)&gt;50,"Y","N"))</f>
        <v>#REF!</v>
      </c>
      <c r="I7" s="87" t="e">
        <f>IF(VLOOKUP(A7,#REF!,9,FALSE)= "", "X",IF(VLOOKUP(A7,#REF!,9,FALSE)&gt;50,"Y","N"))</f>
        <v>#REF!</v>
      </c>
      <c r="J7" s="87" t="e">
        <f>IF(VLOOKUP(A7,#REF!,10,FALSE)= "", "X",IF(VLOOKUP(A7,#REF!,10,FALSE)&gt;50,"Y","N"))</f>
        <v>#REF!</v>
      </c>
      <c r="K7" s="87" t="e">
        <f>IF(VLOOKUP(A7,#REF!,11,FALSE)= "", "X",IF(VLOOKUP(A7,#REF!,11,FALSE)&gt;50,"Y","N"))</f>
        <v>#REF!</v>
      </c>
      <c r="L7" s="87" t="e">
        <f>IF(VLOOKUP(A7,#REF!,12,FALSE)= "", "X",IF(VLOOKUP(A7,#REF!,12,FALSE)&gt;50,"Y","N"))</f>
        <v>#REF!</v>
      </c>
      <c r="M7" s="87" t="e">
        <f>IF(VLOOKUP(A7,#REF!,13,FALSE)= "", "X",IF(VLOOKUP(A7,#REF!,13,FALSE)&gt;50,"Y","N"))</f>
        <v>#REF!</v>
      </c>
      <c r="N7" s="87" t="e">
        <f>IF(VLOOKUP(A7,#REF!,14,FALSE)= "", "X",IF(VLOOKUP(A7,#REF!,14,FALSE)&gt;50,"Y","N"))</f>
        <v>#REF!</v>
      </c>
    </row>
    <row r="8" spans="1:14" ht="16.5" thickBot="1" x14ac:dyDescent="0.3">
      <c r="A8" s="88" t="str">
        <f>(Gradesheet!B12)</f>
        <v>18CS05</v>
      </c>
      <c r="B8" s="89">
        <f>Gradesheet!C12</f>
        <v>0</v>
      </c>
      <c r="C8" s="87" t="e">
        <f>IF(VLOOKUP(A8,#REF!,3,FALSE)="", "X",IF(VLOOKUP(A8,#REF!,3,FALSE)&gt;50,"Y","N"))</f>
        <v>#REF!</v>
      </c>
      <c r="D8" s="87" t="e">
        <f>IF(VLOOKUP(A8,#REF!,4,FALSE)= "", "X",IF(VLOOKUP(A8,#REF!,4,FALSE)&gt;50,"Y","N"))</f>
        <v>#REF!</v>
      </c>
      <c r="E8" s="87" t="e">
        <f>IF(VLOOKUP(A8,#REF!,5,FALSE)= "", "X",IF(VLOOKUP(A8,#REF!,5,FALSE)&gt;50,"Y","N"))</f>
        <v>#REF!</v>
      </c>
      <c r="F8" s="87" t="e">
        <f>IF(VLOOKUP(A8,#REF!,6,FALSE)= "", "X",IF(VLOOKUP(A8,#REF!,6,FALSE)&gt;50,"Y","N"))</f>
        <v>#REF!</v>
      </c>
      <c r="G8" s="87" t="e">
        <f>IF(VLOOKUP(A8,#REF!,7,FALSE)= "", "X",IF(VLOOKUP(A8,#REF!,7,FALSE)&gt;50,"Y","N"))</f>
        <v>#REF!</v>
      </c>
      <c r="H8" s="87" t="e">
        <f>IF(VLOOKUP(A8,#REF!,8,FALSE)= "", "X",IF(VLOOKUP(A8,#REF!,8,FALSE)&gt;50,"Y","N"))</f>
        <v>#REF!</v>
      </c>
      <c r="I8" s="87" t="e">
        <f>IF(VLOOKUP(A8,#REF!,9,FALSE)= "", "X",IF(VLOOKUP(A8,#REF!,9,FALSE)&gt;50,"Y","N"))</f>
        <v>#REF!</v>
      </c>
      <c r="J8" s="87" t="e">
        <f>IF(VLOOKUP(A8,#REF!,10,FALSE)= "", "X",IF(VLOOKUP(A8,#REF!,10,FALSE)&gt;50,"Y","N"))</f>
        <v>#REF!</v>
      </c>
      <c r="K8" s="87" t="e">
        <f>IF(VLOOKUP(A8,#REF!,11,FALSE)= "", "X",IF(VLOOKUP(A8,#REF!,11,FALSE)&gt;50,"Y","N"))</f>
        <v>#REF!</v>
      </c>
      <c r="L8" s="87" t="e">
        <f>IF(VLOOKUP(A8,#REF!,12,FALSE)= "", "X",IF(VLOOKUP(A8,#REF!,12,FALSE)&gt;50,"Y","N"))</f>
        <v>#REF!</v>
      </c>
      <c r="M8" s="87" t="e">
        <f>IF(VLOOKUP(A8,#REF!,13,FALSE)= "", "X",IF(VLOOKUP(A8,#REF!,13,FALSE)&gt;50,"Y","N"))</f>
        <v>#REF!</v>
      </c>
      <c r="N8" s="87" t="e">
        <f>IF(VLOOKUP(A8,#REF!,14,FALSE)= "", "X",IF(VLOOKUP(A8,#REF!,14,FALSE)&gt;50,"Y","N"))</f>
        <v>#REF!</v>
      </c>
    </row>
    <row r="9" spans="1:14" ht="16.5" thickBot="1" x14ac:dyDescent="0.3">
      <c r="A9" s="88" t="str">
        <f>(Gradesheet!B13)</f>
        <v>18CS07</v>
      </c>
      <c r="B9" s="89">
        <f>Gradesheet!C13</f>
        <v>0</v>
      </c>
      <c r="C9" s="87" t="e">
        <f>IF(VLOOKUP(A9,#REF!,3,FALSE)="", "X",IF(VLOOKUP(A9,#REF!,3,FALSE)&gt;50,"Y","N"))</f>
        <v>#REF!</v>
      </c>
      <c r="D9" s="87" t="e">
        <f>IF(VLOOKUP(A9,#REF!,4,FALSE)= "", "X",IF(VLOOKUP(A9,#REF!,4,FALSE)&gt;50,"Y","N"))</f>
        <v>#REF!</v>
      </c>
      <c r="E9" s="87" t="e">
        <f>IF(VLOOKUP(A9,#REF!,5,FALSE)= "", "X",IF(VLOOKUP(A9,#REF!,5,FALSE)&gt;50,"Y","N"))</f>
        <v>#REF!</v>
      </c>
      <c r="F9" s="87" t="e">
        <f>IF(VLOOKUP(A9,#REF!,6,FALSE)= "", "X",IF(VLOOKUP(A9,#REF!,6,FALSE)&gt;50,"Y","N"))</f>
        <v>#REF!</v>
      </c>
      <c r="G9" s="87" t="e">
        <f>IF(VLOOKUP(A9,#REF!,7,FALSE)= "", "X",IF(VLOOKUP(A9,#REF!,7,FALSE)&gt;50,"Y","N"))</f>
        <v>#REF!</v>
      </c>
      <c r="H9" s="87" t="e">
        <f>IF(VLOOKUP(A9,#REF!,8,FALSE)= "", "X",IF(VLOOKUP(A9,#REF!,8,FALSE)&gt;50,"Y","N"))</f>
        <v>#REF!</v>
      </c>
      <c r="I9" s="87" t="e">
        <f>IF(VLOOKUP(A9,#REF!,9,FALSE)= "", "X",IF(VLOOKUP(A9,#REF!,9,FALSE)&gt;50,"Y","N"))</f>
        <v>#REF!</v>
      </c>
      <c r="J9" s="87" t="e">
        <f>IF(VLOOKUP(A9,#REF!,10,FALSE)= "", "X",IF(VLOOKUP(A9,#REF!,10,FALSE)&gt;50,"Y","N"))</f>
        <v>#REF!</v>
      </c>
      <c r="K9" s="87" t="e">
        <f>IF(VLOOKUP(A9,#REF!,11,FALSE)= "", "X",IF(VLOOKUP(A9,#REF!,11,FALSE)&gt;50,"Y","N"))</f>
        <v>#REF!</v>
      </c>
      <c r="L9" s="87" t="e">
        <f>IF(VLOOKUP(A9,#REF!,12,FALSE)= "", "X",IF(VLOOKUP(A9,#REF!,12,FALSE)&gt;50,"Y","N"))</f>
        <v>#REF!</v>
      </c>
      <c r="M9" s="87" t="e">
        <f>IF(VLOOKUP(A9,#REF!,13,FALSE)= "", "X",IF(VLOOKUP(A9,#REF!,13,FALSE)&gt;50,"Y","N"))</f>
        <v>#REF!</v>
      </c>
      <c r="N9" s="87" t="e">
        <f>IF(VLOOKUP(A9,#REF!,14,FALSE)= "", "X",IF(VLOOKUP(A9,#REF!,14,FALSE)&gt;50,"Y","N"))</f>
        <v>#REF!</v>
      </c>
    </row>
    <row r="10" spans="1:14" ht="16.5" thickBot="1" x14ac:dyDescent="0.3">
      <c r="A10" s="88">
        <f>(Gradesheet!B14)</f>
        <v>0</v>
      </c>
      <c r="B10" s="89">
        <f>Gradesheet!C14</f>
        <v>0</v>
      </c>
      <c r="C10" s="87" t="e">
        <f>IF(VLOOKUP(A10,#REF!,3,FALSE)="", "X",IF(VLOOKUP(A10,#REF!,3,FALSE)&gt;50,"Y","N"))</f>
        <v>#REF!</v>
      </c>
      <c r="D10" s="87" t="e">
        <f>IF(VLOOKUP(A10,#REF!,4,FALSE)= "", "X",IF(VLOOKUP(A10,#REF!,4,FALSE)&gt;50,"Y","N"))</f>
        <v>#REF!</v>
      </c>
      <c r="E10" s="87" t="e">
        <f>IF(VLOOKUP(A10,#REF!,5,FALSE)= "", "X",IF(VLOOKUP(A10,#REF!,5,FALSE)&gt;50,"Y","N"))</f>
        <v>#REF!</v>
      </c>
      <c r="F10" s="87" t="e">
        <f>IF(VLOOKUP(A10,#REF!,6,FALSE)= "", "X",IF(VLOOKUP(A10,#REF!,6,FALSE)&gt;50,"Y","N"))</f>
        <v>#REF!</v>
      </c>
      <c r="G10" s="87" t="e">
        <f>IF(VLOOKUP(A10,#REF!,7,FALSE)= "", "X",IF(VLOOKUP(A10,#REF!,7,FALSE)&gt;50,"Y","N"))</f>
        <v>#REF!</v>
      </c>
      <c r="H10" s="87" t="e">
        <f>IF(VLOOKUP(A10,#REF!,8,FALSE)= "", "X",IF(VLOOKUP(A10,#REF!,8,FALSE)&gt;50,"Y","N"))</f>
        <v>#REF!</v>
      </c>
      <c r="I10" s="87" t="e">
        <f>IF(VLOOKUP(A10,#REF!,9,FALSE)= "", "X",IF(VLOOKUP(A10,#REF!,9,FALSE)&gt;50,"Y","N"))</f>
        <v>#REF!</v>
      </c>
      <c r="J10" s="87" t="e">
        <f>IF(VLOOKUP(A10,#REF!,10,FALSE)= "", "X",IF(VLOOKUP(A10,#REF!,10,FALSE)&gt;50,"Y","N"))</f>
        <v>#REF!</v>
      </c>
      <c r="K10" s="87" t="e">
        <f>IF(VLOOKUP(A10,#REF!,11,FALSE)= "", "X",IF(VLOOKUP(A10,#REF!,11,FALSE)&gt;50,"Y","N"))</f>
        <v>#REF!</v>
      </c>
      <c r="L10" s="87" t="e">
        <f>IF(VLOOKUP(A10,#REF!,12,FALSE)= "", "X",IF(VLOOKUP(A10,#REF!,12,FALSE)&gt;50,"Y","N"))</f>
        <v>#REF!</v>
      </c>
      <c r="M10" s="87" t="e">
        <f>IF(VLOOKUP(A10,#REF!,13,FALSE)= "", "X",IF(VLOOKUP(A10,#REF!,13,FALSE)&gt;50,"Y","N"))</f>
        <v>#REF!</v>
      </c>
      <c r="N10" s="87" t="e">
        <f>IF(VLOOKUP(A10,#REF!,14,FALSE)= "", "X",IF(VLOOKUP(A10,#REF!,14,FALSE)&gt;50,"Y","N"))</f>
        <v>#REF!</v>
      </c>
    </row>
    <row r="11" spans="1:14" ht="16.5" thickBot="1" x14ac:dyDescent="0.3">
      <c r="A11" s="88">
        <f>(Gradesheet!B15)</f>
        <v>0</v>
      </c>
      <c r="B11" s="89">
        <f>Gradesheet!C15</f>
        <v>0</v>
      </c>
      <c r="C11" s="87" t="e">
        <f>IF(VLOOKUP(A11,#REF!,3,FALSE)="", "X",IF(VLOOKUP(A11,#REF!,3,FALSE)&gt;50,"Y","N"))</f>
        <v>#REF!</v>
      </c>
      <c r="D11" s="87" t="e">
        <f>IF(VLOOKUP(A11,#REF!,4,FALSE)= "", "X",IF(VLOOKUP(A11,#REF!,4,FALSE)&gt;50,"Y","N"))</f>
        <v>#REF!</v>
      </c>
      <c r="E11" s="87" t="e">
        <f>IF(VLOOKUP(A11,#REF!,5,FALSE)= "", "X",IF(VLOOKUP(A11,#REF!,5,FALSE)&gt;50,"Y","N"))</f>
        <v>#REF!</v>
      </c>
      <c r="F11" s="87" t="e">
        <f>IF(VLOOKUP(A11,#REF!,6,FALSE)= "", "X",IF(VLOOKUP(A11,#REF!,6,FALSE)&gt;50,"Y","N"))</f>
        <v>#REF!</v>
      </c>
      <c r="G11" s="87" t="e">
        <f>IF(VLOOKUP(A11,#REF!,7,FALSE)= "", "X",IF(VLOOKUP(A11,#REF!,7,FALSE)&gt;50,"Y","N"))</f>
        <v>#REF!</v>
      </c>
      <c r="H11" s="87" t="e">
        <f>IF(VLOOKUP(A11,#REF!,8,FALSE)= "", "X",IF(VLOOKUP(A11,#REF!,8,FALSE)&gt;50,"Y","N"))</f>
        <v>#REF!</v>
      </c>
      <c r="I11" s="87" t="e">
        <f>IF(VLOOKUP(A11,#REF!,9,FALSE)= "", "X",IF(VLOOKUP(A11,#REF!,9,FALSE)&gt;50,"Y","N"))</f>
        <v>#REF!</v>
      </c>
      <c r="J11" s="87" t="e">
        <f>IF(VLOOKUP(A11,#REF!,10,FALSE)= "", "X",IF(VLOOKUP(A11,#REF!,10,FALSE)&gt;50,"Y","N"))</f>
        <v>#REF!</v>
      </c>
      <c r="K11" s="87" t="e">
        <f>IF(VLOOKUP(A11,#REF!,11,FALSE)= "", "X",IF(VLOOKUP(A11,#REF!,11,FALSE)&gt;50,"Y","N"))</f>
        <v>#REF!</v>
      </c>
      <c r="L11" s="87" t="e">
        <f>IF(VLOOKUP(A11,#REF!,12,FALSE)= "", "X",IF(VLOOKUP(A11,#REF!,12,FALSE)&gt;50,"Y","N"))</f>
        <v>#REF!</v>
      </c>
      <c r="M11" s="87" t="e">
        <f>IF(VLOOKUP(A11,#REF!,13,FALSE)= "", "X",IF(VLOOKUP(A11,#REF!,13,FALSE)&gt;50,"Y","N"))</f>
        <v>#REF!</v>
      </c>
      <c r="N11" s="87" t="e">
        <f>IF(VLOOKUP(A11,#REF!,14,FALSE)= "", "X",IF(VLOOKUP(A11,#REF!,14,FALSE)&gt;50,"Y","N"))</f>
        <v>#REF!</v>
      </c>
    </row>
    <row r="12" spans="1:14" ht="16.5" thickBot="1" x14ac:dyDescent="0.3">
      <c r="A12" s="88">
        <f>(Gradesheet!B16)</f>
        <v>0</v>
      </c>
      <c r="B12" s="89">
        <f>Gradesheet!C16</f>
        <v>0</v>
      </c>
      <c r="C12" s="87" t="e">
        <f>IF(VLOOKUP(A12,#REF!,3,FALSE)="", "X",IF(VLOOKUP(A12,#REF!,3,FALSE)&gt;50,"Y","N"))</f>
        <v>#REF!</v>
      </c>
      <c r="D12" s="87" t="e">
        <f>IF(VLOOKUP(A12,#REF!,4,FALSE)= "", "X",IF(VLOOKUP(A12,#REF!,4,FALSE)&gt;50,"Y","N"))</f>
        <v>#REF!</v>
      </c>
      <c r="E12" s="87" t="e">
        <f>IF(VLOOKUP(A12,#REF!,5,FALSE)= "", "X",IF(VLOOKUP(A12,#REF!,5,FALSE)&gt;50,"Y","N"))</f>
        <v>#REF!</v>
      </c>
      <c r="F12" s="87" t="e">
        <f>IF(VLOOKUP(A12,#REF!,6,FALSE)= "", "X",IF(VLOOKUP(A12,#REF!,6,FALSE)&gt;50,"Y","N"))</f>
        <v>#REF!</v>
      </c>
      <c r="G12" s="87" t="e">
        <f>IF(VLOOKUP(A12,#REF!,7,FALSE)= "", "X",IF(VLOOKUP(A12,#REF!,7,FALSE)&gt;50,"Y","N"))</f>
        <v>#REF!</v>
      </c>
      <c r="H12" s="87" t="e">
        <f>IF(VLOOKUP(A12,#REF!,8,FALSE)= "", "X",IF(VLOOKUP(A12,#REF!,8,FALSE)&gt;50,"Y","N"))</f>
        <v>#REF!</v>
      </c>
      <c r="I12" s="87" t="e">
        <f>IF(VLOOKUP(A12,#REF!,9,FALSE)= "", "X",IF(VLOOKUP(A12,#REF!,9,FALSE)&gt;50,"Y","N"))</f>
        <v>#REF!</v>
      </c>
      <c r="J12" s="87" t="e">
        <f>IF(VLOOKUP(A12,#REF!,10,FALSE)= "", "X",IF(VLOOKUP(A12,#REF!,10,FALSE)&gt;50,"Y","N"))</f>
        <v>#REF!</v>
      </c>
      <c r="K12" s="87" t="e">
        <f>IF(VLOOKUP(A12,#REF!,11,FALSE)= "", "X",IF(VLOOKUP(A12,#REF!,11,FALSE)&gt;50,"Y","N"))</f>
        <v>#REF!</v>
      </c>
      <c r="L12" s="87" t="e">
        <f>IF(VLOOKUP(A12,#REF!,12,FALSE)= "", "X",IF(VLOOKUP(A12,#REF!,12,FALSE)&gt;50,"Y","N"))</f>
        <v>#REF!</v>
      </c>
      <c r="M12" s="87" t="e">
        <f>IF(VLOOKUP(A12,#REF!,13,FALSE)= "", "X",IF(VLOOKUP(A12,#REF!,13,FALSE)&gt;50,"Y","N"))</f>
        <v>#REF!</v>
      </c>
      <c r="N12" s="87" t="e">
        <f>IF(VLOOKUP(A12,#REF!,14,FALSE)= "", "X",IF(VLOOKUP(A12,#REF!,14,FALSE)&gt;50,"Y","N"))</f>
        <v>#REF!</v>
      </c>
    </row>
    <row r="13" spans="1:14" ht="16.5" thickBot="1" x14ac:dyDescent="0.3">
      <c r="A13" s="88">
        <f>(Gradesheet!B17)</f>
        <v>0</v>
      </c>
      <c r="B13" s="89">
        <f>Gradesheet!C17</f>
        <v>0</v>
      </c>
      <c r="C13" s="87" t="e">
        <f>IF(VLOOKUP(A13,#REF!,3,FALSE)="", "X",IF(VLOOKUP(A13,#REF!,3,FALSE)&gt;50,"Y","N"))</f>
        <v>#REF!</v>
      </c>
      <c r="D13" s="87" t="e">
        <f>IF(VLOOKUP(A13,#REF!,4,FALSE)= "", "X",IF(VLOOKUP(A13,#REF!,4,FALSE)&gt;50,"Y","N"))</f>
        <v>#REF!</v>
      </c>
      <c r="E13" s="87" t="e">
        <f>IF(VLOOKUP(A13,#REF!,5,FALSE)= "", "X",IF(VLOOKUP(A13,#REF!,5,FALSE)&gt;50,"Y","N"))</f>
        <v>#REF!</v>
      </c>
      <c r="F13" s="87" t="e">
        <f>IF(VLOOKUP(A13,#REF!,6,FALSE)= "", "X",IF(VLOOKUP(A13,#REF!,6,FALSE)&gt;50,"Y","N"))</f>
        <v>#REF!</v>
      </c>
      <c r="G13" s="87" t="e">
        <f>IF(VLOOKUP(A13,#REF!,7,FALSE)= "", "X",IF(VLOOKUP(A13,#REF!,7,FALSE)&gt;50,"Y","N"))</f>
        <v>#REF!</v>
      </c>
      <c r="H13" s="87" t="e">
        <f>IF(VLOOKUP(A13,#REF!,8,FALSE)= "", "X",IF(VLOOKUP(A13,#REF!,8,FALSE)&gt;50,"Y","N"))</f>
        <v>#REF!</v>
      </c>
      <c r="I13" s="87" t="e">
        <f>IF(VLOOKUP(A13,#REF!,9,FALSE)= "", "X",IF(VLOOKUP(A13,#REF!,9,FALSE)&gt;50,"Y","N"))</f>
        <v>#REF!</v>
      </c>
      <c r="J13" s="87" t="e">
        <f>IF(VLOOKUP(A13,#REF!,10,FALSE)= "", "X",IF(VLOOKUP(A13,#REF!,10,FALSE)&gt;50,"Y","N"))</f>
        <v>#REF!</v>
      </c>
      <c r="K13" s="87" t="e">
        <f>IF(VLOOKUP(A13,#REF!,11,FALSE)= "", "X",IF(VLOOKUP(A13,#REF!,11,FALSE)&gt;50,"Y","N"))</f>
        <v>#REF!</v>
      </c>
      <c r="L13" s="87" t="e">
        <f>IF(VLOOKUP(A13,#REF!,12,FALSE)= "", "X",IF(VLOOKUP(A13,#REF!,12,FALSE)&gt;50,"Y","N"))</f>
        <v>#REF!</v>
      </c>
      <c r="M13" s="87" t="e">
        <f>IF(VLOOKUP(A13,#REF!,13,FALSE)= "", "X",IF(VLOOKUP(A13,#REF!,13,FALSE)&gt;50,"Y","N"))</f>
        <v>#REF!</v>
      </c>
      <c r="N13" s="87" t="e">
        <f>IF(VLOOKUP(A13,#REF!,14,FALSE)= "", "X",IF(VLOOKUP(A13,#REF!,14,FALSE)&gt;50,"Y","N"))</f>
        <v>#REF!</v>
      </c>
    </row>
    <row r="14" spans="1:14" ht="16.5" thickBot="1" x14ac:dyDescent="0.3">
      <c r="A14" s="88">
        <f>(Gradesheet!B18)</f>
        <v>0</v>
      </c>
      <c r="B14" s="89">
        <f>Gradesheet!C18</f>
        <v>0</v>
      </c>
      <c r="C14" s="87" t="e">
        <f>IF(VLOOKUP(A14,#REF!,3,FALSE)="", "X",IF(VLOOKUP(A14,#REF!,3,FALSE)&gt;50,"Y","N"))</f>
        <v>#REF!</v>
      </c>
      <c r="D14" s="87" t="e">
        <f>IF(VLOOKUP(A14,#REF!,4,FALSE)= "", "X",IF(VLOOKUP(A14,#REF!,4,FALSE)&gt;50,"Y","N"))</f>
        <v>#REF!</v>
      </c>
      <c r="E14" s="87" t="e">
        <f>IF(VLOOKUP(A14,#REF!,5,FALSE)= "", "X",IF(VLOOKUP(A14,#REF!,5,FALSE)&gt;50,"Y","N"))</f>
        <v>#REF!</v>
      </c>
      <c r="F14" s="87" t="e">
        <f>IF(VLOOKUP(A14,#REF!,6,FALSE)= "", "X",IF(VLOOKUP(A14,#REF!,6,FALSE)&gt;50,"Y","N"))</f>
        <v>#REF!</v>
      </c>
      <c r="G14" s="87" t="e">
        <f>IF(VLOOKUP(A14,#REF!,7,FALSE)= "", "X",IF(VLOOKUP(A14,#REF!,7,FALSE)&gt;50,"Y","N"))</f>
        <v>#REF!</v>
      </c>
      <c r="H14" s="87" t="e">
        <f>IF(VLOOKUP(A14,#REF!,8,FALSE)= "", "X",IF(VLOOKUP(A14,#REF!,8,FALSE)&gt;50,"Y","N"))</f>
        <v>#REF!</v>
      </c>
      <c r="I14" s="87" t="e">
        <f>IF(VLOOKUP(A14,#REF!,9,FALSE)= "", "X",IF(VLOOKUP(A14,#REF!,9,FALSE)&gt;50,"Y","N"))</f>
        <v>#REF!</v>
      </c>
      <c r="J14" s="87" t="e">
        <f>IF(VLOOKUP(A14,#REF!,10,FALSE)= "", "X",IF(VLOOKUP(A14,#REF!,10,FALSE)&gt;50,"Y","N"))</f>
        <v>#REF!</v>
      </c>
      <c r="K14" s="87" t="e">
        <f>IF(VLOOKUP(A14,#REF!,11,FALSE)= "", "X",IF(VLOOKUP(A14,#REF!,11,FALSE)&gt;50,"Y","N"))</f>
        <v>#REF!</v>
      </c>
      <c r="L14" s="87" t="e">
        <f>IF(VLOOKUP(A14,#REF!,12,FALSE)= "", "X",IF(VLOOKUP(A14,#REF!,12,FALSE)&gt;50,"Y","N"))</f>
        <v>#REF!</v>
      </c>
      <c r="M14" s="87" t="e">
        <f>IF(VLOOKUP(A14,#REF!,13,FALSE)= "", "X",IF(VLOOKUP(A14,#REF!,13,FALSE)&gt;50,"Y","N"))</f>
        <v>#REF!</v>
      </c>
      <c r="N14" s="87" t="e">
        <f>IF(VLOOKUP(A14,#REF!,14,FALSE)= "", "X",IF(VLOOKUP(A14,#REF!,14,FALSE)&gt;50,"Y","N"))</f>
        <v>#REF!</v>
      </c>
    </row>
    <row r="15" spans="1:14" ht="16.5" thickBot="1" x14ac:dyDescent="0.3">
      <c r="A15" s="88">
        <f>(Gradesheet!B19)</f>
        <v>0</v>
      </c>
      <c r="B15" s="89">
        <f>Gradesheet!C19</f>
        <v>0</v>
      </c>
      <c r="C15" s="87" t="e">
        <f>IF(VLOOKUP(A15,#REF!,3,FALSE)="", "X",IF(VLOOKUP(A15,#REF!,3,FALSE)&gt;50,"Y","N"))</f>
        <v>#REF!</v>
      </c>
      <c r="D15" s="87" t="e">
        <f>IF(VLOOKUP(A15,#REF!,4,FALSE)= "", "X",IF(VLOOKUP(A15,#REF!,4,FALSE)&gt;50,"Y","N"))</f>
        <v>#REF!</v>
      </c>
      <c r="E15" s="87" t="e">
        <f>IF(VLOOKUP(A15,#REF!,5,FALSE)= "", "X",IF(VLOOKUP(A15,#REF!,5,FALSE)&gt;50,"Y","N"))</f>
        <v>#REF!</v>
      </c>
      <c r="F15" s="87" t="e">
        <f>IF(VLOOKUP(A15,#REF!,6,FALSE)= "", "X",IF(VLOOKUP(A15,#REF!,6,FALSE)&gt;50,"Y","N"))</f>
        <v>#REF!</v>
      </c>
      <c r="G15" s="87" t="e">
        <f>IF(VLOOKUP(A15,#REF!,7,FALSE)= "", "X",IF(VLOOKUP(A15,#REF!,7,FALSE)&gt;50,"Y","N"))</f>
        <v>#REF!</v>
      </c>
      <c r="H15" s="87" t="e">
        <f>IF(VLOOKUP(A15,#REF!,8,FALSE)= "", "X",IF(VLOOKUP(A15,#REF!,8,FALSE)&gt;50,"Y","N"))</f>
        <v>#REF!</v>
      </c>
      <c r="I15" s="87" t="e">
        <f>IF(VLOOKUP(A15,#REF!,9,FALSE)= "", "X",IF(VLOOKUP(A15,#REF!,9,FALSE)&gt;50,"Y","N"))</f>
        <v>#REF!</v>
      </c>
      <c r="J15" s="87" t="e">
        <f>IF(VLOOKUP(A15,#REF!,10,FALSE)= "", "X",IF(VLOOKUP(A15,#REF!,10,FALSE)&gt;50,"Y","N"))</f>
        <v>#REF!</v>
      </c>
      <c r="K15" s="87" t="e">
        <f>IF(VLOOKUP(A15,#REF!,11,FALSE)= "", "X",IF(VLOOKUP(A15,#REF!,11,FALSE)&gt;50,"Y","N"))</f>
        <v>#REF!</v>
      </c>
      <c r="L15" s="87" t="e">
        <f>IF(VLOOKUP(A15,#REF!,12,FALSE)= "", "X",IF(VLOOKUP(A15,#REF!,12,FALSE)&gt;50,"Y","N"))</f>
        <v>#REF!</v>
      </c>
      <c r="M15" s="87" t="e">
        <f>IF(VLOOKUP(A15,#REF!,13,FALSE)= "", "X",IF(VLOOKUP(A15,#REF!,13,FALSE)&gt;50,"Y","N"))</f>
        <v>#REF!</v>
      </c>
      <c r="N15" s="87" t="e">
        <f>IF(VLOOKUP(A15,#REF!,14,FALSE)= "", "X",IF(VLOOKUP(A15,#REF!,14,FALSE)&gt;50,"Y","N"))</f>
        <v>#REF!</v>
      </c>
    </row>
    <row r="16" spans="1:14" ht="16.5" thickBot="1" x14ac:dyDescent="0.3">
      <c r="A16" s="88">
        <f>(Gradesheet!B20)</f>
        <v>0</v>
      </c>
      <c r="B16" s="89">
        <f>Gradesheet!C20</f>
        <v>0</v>
      </c>
      <c r="C16" s="87" t="e">
        <f>IF(VLOOKUP(A16,#REF!,3,FALSE)="", "X",IF(VLOOKUP(A16,#REF!,3,FALSE)&gt;50,"Y","N"))</f>
        <v>#REF!</v>
      </c>
      <c r="D16" s="87" t="e">
        <f>IF(VLOOKUP(A16,#REF!,4,FALSE)= "", "X",IF(VLOOKUP(A16,#REF!,4,FALSE)&gt;50,"Y","N"))</f>
        <v>#REF!</v>
      </c>
      <c r="E16" s="87" t="e">
        <f>IF(VLOOKUP(A16,#REF!,5,FALSE)= "", "X",IF(VLOOKUP(A16,#REF!,5,FALSE)&gt;50,"Y","N"))</f>
        <v>#REF!</v>
      </c>
      <c r="F16" s="87" t="e">
        <f>IF(VLOOKUP(A16,#REF!,6,FALSE)= "", "X",IF(VLOOKUP(A16,#REF!,6,FALSE)&gt;50,"Y","N"))</f>
        <v>#REF!</v>
      </c>
      <c r="G16" s="87" t="e">
        <f>IF(VLOOKUP(A16,#REF!,7,FALSE)= "", "X",IF(VLOOKUP(A16,#REF!,7,FALSE)&gt;50,"Y","N"))</f>
        <v>#REF!</v>
      </c>
      <c r="H16" s="87" t="e">
        <f>IF(VLOOKUP(A16,#REF!,8,FALSE)= "", "X",IF(VLOOKUP(A16,#REF!,8,FALSE)&gt;50,"Y","N"))</f>
        <v>#REF!</v>
      </c>
      <c r="I16" s="87" t="e">
        <f>IF(VLOOKUP(A16,#REF!,9,FALSE)= "", "X",IF(VLOOKUP(A16,#REF!,9,FALSE)&gt;50,"Y","N"))</f>
        <v>#REF!</v>
      </c>
      <c r="J16" s="87" t="e">
        <f>IF(VLOOKUP(A16,#REF!,10,FALSE)= "", "X",IF(VLOOKUP(A16,#REF!,10,FALSE)&gt;50,"Y","N"))</f>
        <v>#REF!</v>
      </c>
      <c r="K16" s="87" t="e">
        <f>IF(VLOOKUP(A16,#REF!,11,FALSE)= "", "X",IF(VLOOKUP(A16,#REF!,11,FALSE)&gt;50,"Y","N"))</f>
        <v>#REF!</v>
      </c>
      <c r="L16" s="87" t="e">
        <f>IF(VLOOKUP(A16,#REF!,12,FALSE)= "", "X",IF(VLOOKUP(A16,#REF!,12,FALSE)&gt;50,"Y","N"))</f>
        <v>#REF!</v>
      </c>
      <c r="M16" s="87" t="e">
        <f>IF(VLOOKUP(A16,#REF!,13,FALSE)= "", "X",IF(VLOOKUP(A16,#REF!,13,FALSE)&gt;50,"Y","N"))</f>
        <v>#REF!</v>
      </c>
      <c r="N16" s="87" t="e">
        <f>IF(VLOOKUP(A16,#REF!,14,FALSE)= "", "X",IF(VLOOKUP(A16,#REF!,14,FALSE)&gt;50,"Y","N"))</f>
        <v>#REF!</v>
      </c>
    </row>
    <row r="17" spans="1:14" ht="16.5" thickBot="1" x14ac:dyDescent="0.3">
      <c r="A17" s="88">
        <f>(Gradesheet!B21)</f>
        <v>0</v>
      </c>
      <c r="B17" s="89">
        <f>Gradesheet!C21</f>
        <v>0</v>
      </c>
      <c r="C17" s="87" t="e">
        <f>IF(VLOOKUP(A17,#REF!,3,FALSE)="", "X",IF(VLOOKUP(A17,#REF!,3,FALSE)&gt;50,"Y","N"))</f>
        <v>#REF!</v>
      </c>
      <c r="D17" s="87" t="e">
        <f>IF(VLOOKUP(A17,#REF!,4,FALSE)= "", "X",IF(VLOOKUP(A17,#REF!,4,FALSE)&gt;50,"Y","N"))</f>
        <v>#REF!</v>
      </c>
      <c r="E17" s="87" t="e">
        <f>IF(VLOOKUP(A17,#REF!,5,FALSE)= "", "X",IF(VLOOKUP(A17,#REF!,5,FALSE)&gt;50,"Y","N"))</f>
        <v>#REF!</v>
      </c>
      <c r="F17" s="87" t="e">
        <f>IF(VLOOKUP(A17,#REF!,6,FALSE)= "", "X",IF(VLOOKUP(A17,#REF!,6,FALSE)&gt;50,"Y","N"))</f>
        <v>#REF!</v>
      </c>
      <c r="G17" s="87" t="e">
        <f>IF(VLOOKUP(A17,#REF!,7,FALSE)= "", "X",IF(VLOOKUP(A17,#REF!,7,FALSE)&gt;50,"Y","N"))</f>
        <v>#REF!</v>
      </c>
      <c r="H17" s="87" t="e">
        <f>IF(VLOOKUP(A17,#REF!,8,FALSE)= "", "X",IF(VLOOKUP(A17,#REF!,8,FALSE)&gt;50,"Y","N"))</f>
        <v>#REF!</v>
      </c>
      <c r="I17" s="87" t="e">
        <f>IF(VLOOKUP(A17,#REF!,9,FALSE)= "", "X",IF(VLOOKUP(A17,#REF!,9,FALSE)&gt;50,"Y","N"))</f>
        <v>#REF!</v>
      </c>
      <c r="J17" s="87" t="e">
        <f>IF(VLOOKUP(A17,#REF!,10,FALSE)= "", "X",IF(VLOOKUP(A17,#REF!,10,FALSE)&gt;50,"Y","N"))</f>
        <v>#REF!</v>
      </c>
      <c r="K17" s="87" t="e">
        <f>IF(VLOOKUP(A17,#REF!,11,FALSE)= "", "X",IF(VLOOKUP(A17,#REF!,11,FALSE)&gt;50,"Y","N"))</f>
        <v>#REF!</v>
      </c>
      <c r="L17" s="87" t="e">
        <f>IF(VLOOKUP(A17,#REF!,12,FALSE)= "", "X",IF(VLOOKUP(A17,#REF!,12,FALSE)&gt;50,"Y","N"))</f>
        <v>#REF!</v>
      </c>
      <c r="M17" s="87" t="e">
        <f>IF(VLOOKUP(A17,#REF!,13,FALSE)= "", "X",IF(VLOOKUP(A17,#REF!,13,FALSE)&gt;50,"Y","N"))</f>
        <v>#REF!</v>
      </c>
      <c r="N17" s="87" t="e">
        <f>IF(VLOOKUP(A17,#REF!,14,FALSE)= "", "X",IF(VLOOKUP(A17,#REF!,14,FALSE)&gt;50,"Y","N"))</f>
        <v>#REF!</v>
      </c>
    </row>
    <row r="18" spans="1:14" ht="16.5" thickBot="1" x14ac:dyDescent="0.3">
      <c r="A18" s="88">
        <f>(Gradesheet!B22)</f>
        <v>0</v>
      </c>
      <c r="B18" s="89">
        <f>Gradesheet!C22</f>
        <v>0</v>
      </c>
      <c r="C18" s="87" t="e">
        <f>IF(VLOOKUP(A18,#REF!,3,FALSE)="", "X",IF(VLOOKUP(A18,#REF!,3,FALSE)&gt;50,"Y","N"))</f>
        <v>#REF!</v>
      </c>
      <c r="D18" s="87" t="e">
        <f>IF(VLOOKUP(A18,#REF!,4,FALSE)= "", "X",IF(VLOOKUP(A18,#REF!,4,FALSE)&gt;50,"Y","N"))</f>
        <v>#REF!</v>
      </c>
      <c r="E18" s="87" t="e">
        <f>IF(VLOOKUP(A18,#REF!,5,FALSE)= "", "X",IF(VLOOKUP(A18,#REF!,5,FALSE)&gt;50,"Y","N"))</f>
        <v>#REF!</v>
      </c>
      <c r="F18" s="87" t="e">
        <f>IF(VLOOKUP(A18,#REF!,6,FALSE)= "", "X",IF(VLOOKUP(A18,#REF!,6,FALSE)&gt;50,"Y","N"))</f>
        <v>#REF!</v>
      </c>
      <c r="G18" s="87" t="e">
        <f>IF(VLOOKUP(A18,#REF!,7,FALSE)= "", "X",IF(VLOOKUP(A18,#REF!,7,FALSE)&gt;50,"Y","N"))</f>
        <v>#REF!</v>
      </c>
      <c r="H18" s="87" t="e">
        <f>IF(VLOOKUP(A18,#REF!,8,FALSE)= "", "X",IF(VLOOKUP(A18,#REF!,8,FALSE)&gt;50,"Y","N"))</f>
        <v>#REF!</v>
      </c>
      <c r="I18" s="87" t="e">
        <f>IF(VLOOKUP(A18,#REF!,9,FALSE)= "", "X",IF(VLOOKUP(A18,#REF!,9,FALSE)&gt;50,"Y","N"))</f>
        <v>#REF!</v>
      </c>
      <c r="J18" s="87" t="e">
        <f>IF(VLOOKUP(A18,#REF!,10,FALSE)= "", "X",IF(VLOOKUP(A18,#REF!,10,FALSE)&gt;50,"Y","N"))</f>
        <v>#REF!</v>
      </c>
      <c r="K18" s="87" t="e">
        <f>IF(VLOOKUP(A18,#REF!,11,FALSE)= "", "X",IF(VLOOKUP(A18,#REF!,11,FALSE)&gt;50,"Y","N"))</f>
        <v>#REF!</v>
      </c>
      <c r="L18" s="87" t="e">
        <f>IF(VLOOKUP(A18,#REF!,12,FALSE)= "", "X",IF(VLOOKUP(A18,#REF!,12,FALSE)&gt;50,"Y","N"))</f>
        <v>#REF!</v>
      </c>
      <c r="M18" s="87" t="e">
        <f>IF(VLOOKUP(A18,#REF!,13,FALSE)= "", "X",IF(VLOOKUP(A18,#REF!,13,FALSE)&gt;50,"Y","N"))</f>
        <v>#REF!</v>
      </c>
      <c r="N18" s="87" t="e">
        <f>IF(VLOOKUP(A18,#REF!,14,FALSE)= "", "X",IF(VLOOKUP(A18,#REF!,14,FALSE)&gt;50,"Y","N"))</f>
        <v>#REF!</v>
      </c>
    </row>
    <row r="19" spans="1:14" ht="16.5" thickBot="1" x14ac:dyDescent="0.3">
      <c r="A19" s="88">
        <f>(Gradesheet!B23)</f>
        <v>0</v>
      </c>
      <c r="B19" s="89">
        <f>Gradesheet!C23</f>
        <v>0</v>
      </c>
      <c r="C19" s="87" t="e">
        <f>IF(VLOOKUP(A19,#REF!,3,FALSE)="", "X",IF(VLOOKUP(A19,#REF!,3,FALSE)&gt;50,"Y","N"))</f>
        <v>#REF!</v>
      </c>
      <c r="D19" s="87" t="e">
        <f>IF(VLOOKUP(A19,#REF!,4,FALSE)= "", "X",IF(VLOOKUP(A19,#REF!,4,FALSE)&gt;50,"Y","N"))</f>
        <v>#REF!</v>
      </c>
      <c r="E19" s="87" t="e">
        <f>IF(VLOOKUP(A19,#REF!,5,FALSE)= "", "X",IF(VLOOKUP(A19,#REF!,5,FALSE)&gt;50,"Y","N"))</f>
        <v>#REF!</v>
      </c>
      <c r="F19" s="87" t="e">
        <f>IF(VLOOKUP(A19,#REF!,6,FALSE)= "", "X",IF(VLOOKUP(A19,#REF!,6,FALSE)&gt;50,"Y","N"))</f>
        <v>#REF!</v>
      </c>
      <c r="G19" s="87" t="e">
        <f>IF(VLOOKUP(A19,#REF!,7,FALSE)= "", "X",IF(VLOOKUP(A19,#REF!,7,FALSE)&gt;50,"Y","N"))</f>
        <v>#REF!</v>
      </c>
      <c r="H19" s="87" t="e">
        <f>IF(VLOOKUP(A19,#REF!,8,FALSE)= "", "X",IF(VLOOKUP(A19,#REF!,8,FALSE)&gt;50,"Y","N"))</f>
        <v>#REF!</v>
      </c>
      <c r="I19" s="87" t="e">
        <f>IF(VLOOKUP(A19,#REF!,9,FALSE)= "", "X",IF(VLOOKUP(A19,#REF!,9,FALSE)&gt;50,"Y","N"))</f>
        <v>#REF!</v>
      </c>
      <c r="J19" s="87" t="e">
        <f>IF(VLOOKUP(A19,#REF!,10,FALSE)= "", "X",IF(VLOOKUP(A19,#REF!,10,FALSE)&gt;50,"Y","N"))</f>
        <v>#REF!</v>
      </c>
      <c r="K19" s="87" t="e">
        <f>IF(VLOOKUP(A19,#REF!,11,FALSE)= "", "X",IF(VLOOKUP(A19,#REF!,11,FALSE)&gt;50,"Y","N"))</f>
        <v>#REF!</v>
      </c>
      <c r="L19" s="87" t="e">
        <f>IF(VLOOKUP(A19,#REF!,12,FALSE)= "", "X",IF(VLOOKUP(A19,#REF!,12,FALSE)&gt;50,"Y","N"))</f>
        <v>#REF!</v>
      </c>
      <c r="M19" s="87" t="e">
        <f>IF(VLOOKUP(A19,#REF!,13,FALSE)= "", "X",IF(VLOOKUP(A19,#REF!,13,FALSE)&gt;50,"Y","N"))</f>
        <v>#REF!</v>
      </c>
      <c r="N19" s="87" t="e">
        <f>IF(VLOOKUP(A19,#REF!,14,FALSE)= "", "X",IF(VLOOKUP(A19,#REF!,14,FALSE)&gt;50,"Y","N"))</f>
        <v>#REF!</v>
      </c>
    </row>
    <row r="20" spans="1:14" ht="16.5" thickBot="1" x14ac:dyDescent="0.3">
      <c r="A20" s="88">
        <f>(Gradesheet!B24)</f>
        <v>0</v>
      </c>
      <c r="B20" s="89">
        <f>Gradesheet!C24</f>
        <v>0</v>
      </c>
      <c r="C20" s="87" t="e">
        <f>IF(VLOOKUP(A20,#REF!,3,FALSE)="", "X",IF(VLOOKUP(A20,#REF!,3,FALSE)&gt;50,"Y","N"))</f>
        <v>#REF!</v>
      </c>
      <c r="D20" s="87" t="e">
        <f>IF(VLOOKUP(A20,#REF!,4,FALSE)= "", "X",IF(VLOOKUP(A20,#REF!,4,FALSE)&gt;50,"Y","N"))</f>
        <v>#REF!</v>
      </c>
      <c r="E20" s="87" t="e">
        <f>IF(VLOOKUP(A20,#REF!,5,FALSE)= "", "X",IF(VLOOKUP(A20,#REF!,5,FALSE)&gt;50,"Y","N"))</f>
        <v>#REF!</v>
      </c>
      <c r="F20" s="87" t="e">
        <f>IF(VLOOKUP(A20,#REF!,6,FALSE)= "", "X",IF(VLOOKUP(A20,#REF!,6,FALSE)&gt;50,"Y","N"))</f>
        <v>#REF!</v>
      </c>
      <c r="G20" s="87" t="e">
        <f>IF(VLOOKUP(A20,#REF!,7,FALSE)= "", "X",IF(VLOOKUP(A20,#REF!,7,FALSE)&gt;50,"Y","N"))</f>
        <v>#REF!</v>
      </c>
      <c r="H20" s="87" t="e">
        <f>IF(VLOOKUP(A20,#REF!,8,FALSE)= "", "X",IF(VLOOKUP(A20,#REF!,8,FALSE)&gt;50,"Y","N"))</f>
        <v>#REF!</v>
      </c>
      <c r="I20" s="87" t="e">
        <f>IF(VLOOKUP(A20,#REF!,9,FALSE)= "", "X",IF(VLOOKUP(A20,#REF!,9,FALSE)&gt;50,"Y","N"))</f>
        <v>#REF!</v>
      </c>
      <c r="J20" s="87" t="e">
        <f>IF(VLOOKUP(A20,#REF!,10,FALSE)= "", "X",IF(VLOOKUP(A20,#REF!,10,FALSE)&gt;50,"Y","N"))</f>
        <v>#REF!</v>
      </c>
      <c r="K20" s="87" t="e">
        <f>IF(VLOOKUP(A20,#REF!,11,FALSE)= "", "X",IF(VLOOKUP(A20,#REF!,11,FALSE)&gt;50,"Y","N"))</f>
        <v>#REF!</v>
      </c>
      <c r="L20" s="87" t="e">
        <f>IF(VLOOKUP(A20,#REF!,12,FALSE)= "", "X",IF(VLOOKUP(A20,#REF!,12,FALSE)&gt;50,"Y","N"))</f>
        <v>#REF!</v>
      </c>
      <c r="M20" s="87" t="e">
        <f>IF(VLOOKUP(A20,#REF!,13,FALSE)= "", "X",IF(VLOOKUP(A20,#REF!,13,FALSE)&gt;50,"Y","N"))</f>
        <v>#REF!</v>
      </c>
      <c r="N20" s="87" t="e">
        <f>IF(VLOOKUP(A20,#REF!,14,FALSE)= "", "X",IF(VLOOKUP(A20,#REF!,14,FALSE)&gt;50,"Y","N"))</f>
        <v>#REF!</v>
      </c>
    </row>
    <row r="21" spans="1:14" ht="16.5" thickBot="1" x14ac:dyDescent="0.3">
      <c r="A21" s="88">
        <f>(Gradesheet!B25)</f>
        <v>0</v>
      </c>
      <c r="B21" s="89">
        <f>Gradesheet!C25</f>
        <v>0</v>
      </c>
      <c r="C21" s="87" t="e">
        <f>IF(VLOOKUP(A21,#REF!,3,FALSE)="", "X",IF(VLOOKUP(A21,#REF!,3,FALSE)&gt;50,"Y","N"))</f>
        <v>#REF!</v>
      </c>
      <c r="D21" s="87" t="e">
        <f>IF(VLOOKUP(A21,#REF!,4,FALSE)= "", "X",IF(VLOOKUP(A21,#REF!,4,FALSE)&gt;50,"Y","N"))</f>
        <v>#REF!</v>
      </c>
      <c r="E21" s="87" t="e">
        <f>IF(VLOOKUP(A21,#REF!,5,FALSE)= "", "X",IF(VLOOKUP(A21,#REF!,5,FALSE)&gt;50,"Y","N"))</f>
        <v>#REF!</v>
      </c>
      <c r="F21" s="87" t="e">
        <f>IF(VLOOKUP(A21,#REF!,6,FALSE)= "", "X",IF(VLOOKUP(A21,#REF!,6,FALSE)&gt;50,"Y","N"))</f>
        <v>#REF!</v>
      </c>
      <c r="G21" s="87" t="e">
        <f>IF(VLOOKUP(A21,#REF!,7,FALSE)= "", "X",IF(VLOOKUP(A21,#REF!,7,FALSE)&gt;50,"Y","N"))</f>
        <v>#REF!</v>
      </c>
      <c r="H21" s="87" t="e">
        <f>IF(VLOOKUP(A21,#REF!,8,FALSE)= "", "X",IF(VLOOKUP(A21,#REF!,8,FALSE)&gt;50,"Y","N"))</f>
        <v>#REF!</v>
      </c>
      <c r="I21" s="87" t="e">
        <f>IF(VLOOKUP(A21,#REF!,9,FALSE)= "", "X",IF(VLOOKUP(A21,#REF!,9,FALSE)&gt;50,"Y","N"))</f>
        <v>#REF!</v>
      </c>
      <c r="J21" s="87" t="e">
        <f>IF(VLOOKUP(A21,#REF!,10,FALSE)= "", "X",IF(VLOOKUP(A21,#REF!,10,FALSE)&gt;50,"Y","N"))</f>
        <v>#REF!</v>
      </c>
      <c r="K21" s="87" t="e">
        <f>IF(VLOOKUP(A21,#REF!,11,FALSE)= "", "X",IF(VLOOKUP(A21,#REF!,11,FALSE)&gt;50,"Y","N"))</f>
        <v>#REF!</v>
      </c>
      <c r="L21" s="87" t="e">
        <f>IF(VLOOKUP(A21,#REF!,12,FALSE)= "", "X",IF(VLOOKUP(A21,#REF!,12,FALSE)&gt;50,"Y","N"))</f>
        <v>#REF!</v>
      </c>
      <c r="M21" s="87" t="e">
        <f>IF(VLOOKUP(A21,#REF!,13,FALSE)= "", "X",IF(VLOOKUP(A21,#REF!,13,FALSE)&gt;50,"Y","N"))</f>
        <v>#REF!</v>
      </c>
      <c r="N21" s="87" t="e">
        <f>IF(VLOOKUP(A21,#REF!,14,FALSE)= "", "X",IF(VLOOKUP(A21,#REF!,14,FALSE)&gt;50,"Y","N"))</f>
        <v>#REF!</v>
      </c>
    </row>
    <row r="22" spans="1:14" ht="16.5" thickBot="1" x14ac:dyDescent="0.3">
      <c r="A22" s="88">
        <f>(Gradesheet!B26)</f>
        <v>0</v>
      </c>
      <c r="B22" s="89">
        <f>Gradesheet!C26</f>
        <v>0</v>
      </c>
      <c r="C22" s="87" t="e">
        <f>IF(VLOOKUP(A22,#REF!,3,FALSE)="", "X",IF(VLOOKUP(A22,#REF!,3,FALSE)&gt;50,"Y","N"))</f>
        <v>#REF!</v>
      </c>
      <c r="D22" s="87" t="e">
        <f>IF(VLOOKUP(A22,#REF!,4,FALSE)= "", "X",IF(VLOOKUP(A22,#REF!,4,FALSE)&gt;50,"Y","N"))</f>
        <v>#REF!</v>
      </c>
      <c r="E22" s="87" t="e">
        <f>IF(VLOOKUP(A22,#REF!,5,FALSE)= "", "X",IF(VLOOKUP(A22,#REF!,5,FALSE)&gt;50,"Y","N"))</f>
        <v>#REF!</v>
      </c>
      <c r="F22" s="87" t="e">
        <f>IF(VLOOKUP(A22,#REF!,6,FALSE)= "", "X",IF(VLOOKUP(A22,#REF!,6,FALSE)&gt;50,"Y","N"))</f>
        <v>#REF!</v>
      </c>
      <c r="G22" s="87" t="e">
        <f>IF(VLOOKUP(A22,#REF!,7,FALSE)= "", "X",IF(VLOOKUP(A22,#REF!,7,FALSE)&gt;50,"Y","N"))</f>
        <v>#REF!</v>
      </c>
      <c r="H22" s="87" t="e">
        <f>IF(VLOOKUP(A22,#REF!,8,FALSE)= "", "X",IF(VLOOKUP(A22,#REF!,8,FALSE)&gt;50,"Y","N"))</f>
        <v>#REF!</v>
      </c>
      <c r="I22" s="87" t="e">
        <f>IF(VLOOKUP(A22,#REF!,9,FALSE)= "", "X",IF(VLOOKUP(A22,#REF!,9,FALSE)&gt;50,"Y","N"))</f>
        <v>#REF!</v>
      </c>
      <c r="J22" s="87" t="e">
        <f>IF(VLOOKUP(A22,#REF!,10,FALSE)= "", "X",IF(VLOOKUP(A22,#REF!,10,FALSE)&gt;50,"Y","N"))</f>
        <v>#REF!</v>
      </c>
      <c r="K22" s="87" t="e">
        <f>IF(VLOOKUP(A22,#REF!,11,FALSE)= "", "X",IF(VLOOKUP(A22,#REF!,11,FALSE)&gt;50,"Y","N"))</f>
        <v>#REF!</v>
      </c>
      <c r="L22" s="87" t="e">
        <f>IF(VLOOKUP(A22,#REF!,12,FALSE)= "", "X",IF(VLOOKUP(A22,#REF!,12,FALSE)&gt;50,"Y","N"))</f>
        <v>#REF!</v>
      </c>
      <c r="M22" s="87" t="e">
        <f>IF(VLOOKUP(A22,#REF!,13,FALSE)= "", "X",IF(VLOOKUP(A22,#REF!,13,FALSE)&gt;50,"Y","N"))</f>
        <v>#REF!</v>
      </c>
      <c r="N22" s="87" t="e">
        <f>IF(VLOOKUP(A22,#REF!,14,FALSE)= "", "X",IF(VLOOKUP(A22,#REF!,14,FALSE)&gt;50,"Y","N"))</f>
        <v>#REF!</v>
      </c>
    </row>
    <row r="23" spans="1:14" ht="16.5" thickBot="1" x14ac:dyDescent="0.3">
      <c r="A23" s="88">
        <f>(Gradesheet!B27)</f>
        <v>0</v>
      </c>
      <c r="B23" s="89">
        <f>Gradesheet!C27</f>
        <v>0</v>
      </c>
      <c r="C23" s="87" t="e">
        <f>IF(VLOOKUP(A23,#REF!,3,FALSE)="", "X",IF(VLOOKUP(A23,#REF!,3,FALSE)&gt;50,"Y","N"))</f>
        <v>#REF!</v>
      </c>
      <c r="D23" s="87" t="e">
        <f>IF(VLOOKUP(A23,#REF!,4,FALSE)= "", "X",IF(VLOOKUP(A23,#REF!,4,FALSE)&gt;50,"Y","N"))</f>
        <v>#REF!</v>
      </c>
      <c r="E23" s="87" t="e">
        <f>IF(VLOOKUP(A23,#REF!,5,FALSE)= "", "X",IF(VLOOKUP(A23,#REF!,5,FALSE)&gt;50,"Y","N"))</f>
        <v>#REF!</v>
      </c>
      <c r="F23" s="87" t="e">
        <f>IF(VLOOKUP(A23,#REF!,6,FALSE)= "", "X",IF(VLOOKUP(A23,#REF!,6,FALSE)&gt;50,"Y","N"))</f>
        <v>#REF!</v>
      </c>
      <c r="G23" s="87" t="e">
        <f>IF(VLOOKUP(A23,#REF!,7,FALSE)= "", "X",IF(VLOOKUP(A23,#REF!,7,FALSE)&gt;50,"Y","N"))</f>
        <v>#REF!</v>
      </c>
      <c r="H23" s="87" t="e">
        <f>IF(VLOOKUP(A23,#REF!,8,FALSE)= "", "X",IF(VLOOKUP(A23,#REF!,8,FALSE)&gt;50,"Y","N"))</f>
        <v>#REF!</v>
      </c>
      <c r="I23" s="87" t="e">
        <f>IF(VLOOKUP(A23,#REF!,9,FALSE)= "", "X",IF(VLOOKUP(A23,#REF!,9,FALSE)&gt;50,"Y","N"))</f>
        <v>#REF!</v>
      </c>
      <c r="J23" s="87" t="e">
        <f>IF(VLOOKUP(A23,#REF!,10,FALSE)= "", "X",IF(VLOOKUP(A23,#REF!,10,FALSE)&gt;50,"Y","N"))</f>
        <v>#REF!</v>
      </c>
      <c r="K23" s="87" t="e">
        <f>IF(VLOOKUP(A23,#REF!,11,FALSE)= "", "X",IF(VLOOKUP(A23,#REF!,11,FALSE)&gt;50,"Y","N"))</f>
        <v>#REF!</v>
      </c>
      <c r="L23" s="87" t="e">
        <f>IF(VLOOKUP(A23,#REF!,12,FALSE)= "", "X",IF(VLOOKUP(A23,#REF!,12,FALSE)&gt;50,"Y","N"))</f>
        <v>#REF!</v>
      </c>
      <c r="M23" s="87" t="e">
        <f>IF(VLOOKUP(A23,#REF!,13,FALSE)= "", "X",IF(VLOOKUP(A23,#REF!,13,FALSE)&gt;50,"Y","N"))</f>
        <v>#REF!</v>
      </c>
      <c r="N23" s="87" t="e">
        <f>IF(VLOOKUP(A23,#REF!,14,FALSE)= "", "X",IF(VLOOKUP(A23,#REF!,14,FALSE)&gt;50,"Y","N"))</f>
        <v>#REF!</v>
      </c>
    </row>
    <row r="24" spans="1:14" ht="16.5" thickBot="1" x14ac:dyDescent="0.3">
      <c r="A24" s="88">
        <f>(Gradesheet!B28)</f>
        <v>0</v>
      </c>
      <c r="B24" s="89">
        <f>Gradesheet!C28</f>
        <v>0</v>
      </c>
      <c r="C24" s="87" t="e">
        <f>IF(VLOOKUP(A24,#REF!,3,FALSE)="", "X",IF(VLOOKUP(A24,#REF!,3,FALSE)&gt;50,"Y","N"))</f>
        <v>#REF!</v>
      </c>
      <c r="D24" s="87" t="e">
        <f>IF(VLOOKUP(A24,#REF!,4,FALSE)= "", "X",IF(VLOOKUP(A24,#REF!,4,FALSE)&gt;50,"Y","N"))</f>
        <v>#REF!</v>
      </c>
      <c r="E24" s="87" t="e">
        <f>IF(VLOOKUP(A24,#REF!,5,FALSE)= "", "X",IF(VLOOKUP(A24,#REF!,5,FALSE)&gt;50,"Y","N"))</f>
        <v>#REF!</v>
      </c>
      <c r="F24" s="87" t="e">
        <f>IF(VLOOKUP(A24,#REF!,6,FALSE)= "", "X",IF(VLOOKUP(A24,#REF!,6,FALSE)&gt;50,"Y","N"))</f>
        <v>#REF!</v>
      </c>
      <c r="G24" s="87" t="e">
        <f>IF(VLOOKUP(A24,#REF!,7,FALSE)= "", "X",IF(VLOOKUP(A24,#REF!,7,FALSE)&gt;50,"Y","N"))</f>
        <v>#REF!</v>
      </c>
      <c r="H24" s="87" t="e">
        <f>IF(VLOOKUP(A24,#REF!,8,FALSE)= "", "X",IF(VLOOKUP(A24,#REF!,8,FALSE)&gt;50,"Y","N"))</f>
        <v>#REF!</v>
      </c>
      <c r="I24" s="87" t="e">
        <f>IF(VLOOKUP(A24,#REF!,9,FALSE)= "", "X",IF(VLOOKUP(A24,#REF!,9,FALSE)&gt;50,"Y","N"))</f>
        <v>#REF!</v>
      </c>
      <c r="J24" s="87" t="e">
        <f>IF(VLOOKUP(A24,#REF!,10,FALSE)= "", "X",IF(VLOOKUP(A24,#REF!,10,FALSE)&gt;50,"Y","N"))</f>
        <v>#REF!</v>
      </c>
      <c r="K24" s="87" t="e">
        <f>IF(VLOOKUP(A24,#REF!,11,FALSE)= "", "X",IF(VLOOKUP(A24,#REF!,11,FALSE)&gt;50,"Y","N"))</f>
        <v>#REF!</v>
      </c>
      <c r="L24" s="87" t="e">
        <f>IF(VLOOKUP(A24,#REF!,12,FALSE)= "", "X",IF(VLOOKUP(A24,#REF!,12,FALSE)&gt;50,"Y","N"))</f>
        <v>#REF!</v>
      </c>
      <c r="M24" s="87" t="e">
        <f>IF(VLOOKUP(A24,#REF!,13,FALSE)= "", "X",IF(VLOOKUP(A24,#REF!,13,FALSE)&gt;50,"Y","N"))</f>
        <v>#REF!</v>
      </c>
      <c r="N24" s="87" t="e">
        <f>IF(VLOOKUP(A24,#REF!,14,FALSE)= "", "X",IF(VLOOKUP(A24,#REF!,14,FALSE)&gt;50,"Y","N"))</f>
        <v>#REF!</v>
      </c>
    </row>
    <row r="25" spans="1:14" ht="16.5" thickBot="1" x14ac:dyDescent="0.3">
      <c r="A25" s="88">
        <f>(Gradesheet!B29)</f>
        <v>0</v>
      </c>
      <c r="B25" s="89">
        <f>Gradesheet!C29</f>
        <v>0</v>
      </c>
      <c r="C25" s="87" t="e">
        <f>IF(VLOOKUP(A25,#REF!,3,FALSE)="", "X",IF(VLOOKUP(A25,#REF!,3,FALSE)&gt;50,"Y","N"))</f>
        <v>#REF!</v>
      </c>
      <c r="D25" s="87" t="e">
        <f>IF(VLOOKUP(A25,#REF!,4,FALSE)= "", "X",IF(VLOOKUP(A25,#REF!,4,FALSE)&gt;50,"Y","N"))</f>
        <v>#REF!</v>
      </c>
      <c r="E25" s="87" t="e">
        <f>IF(VLOOKUP(A25,#REF!,5,FALSE)= "", "X",IF(VLOOKUP(A25,#REF!,5,FALSE)&gt;50,"Y","N"))</f>
        <v>#REF!</v>
      </c>
      <c r="F25" s="87" t="e">
        <f>IF(VLOOKUP(A25,#REF!,6,FALSE)= "", "X",IF(VLOOKUP(A25,#REF!,6,FALSE)&gt;50,"Y","N"))</f>
        <v>#REF!</v>
      </c>
      <c r="G25" s="87" t="e">
        <f>IF(VLOOKUP(A25,#REF!,7,FALSE)= "", "X",IF(VLOOKUP(A25,#REF!,7,FALSE)&gt;50,"Y","N"))</f>
        <v>#REF!</v>
      </c>
      <c r="H25" s="87" t="e">
        <f>IF(VLOOKUP(A25,#REF!,8,FALSE)= "", "X",IF(VLOOKUP(A25,#REF!,8,FALSE)&gt;50,"Y","N"))</f>
        <v>#REF!</v>
      </c>
      <c r="I25" s="87" t="e">
        <f>IF(VLOOKUP(A25,#REF!,9,FALSE)= "", "X",IF(VLOOKUP(A25,#REF!,9,FALSE)&gt;50,"Y","N"))</f>
        <v>#REF!</v>
      </c>
      <c r="J25" s="87" t="e">
        <f>IF(VLOOKUP(A25,#REF!,10,FALSE)= "", "X",IF(VLOOKUP(A25,#REF!,10,FALSE)&gt;50,"Y","N"))</f>
        <v>#REF!</v>
      </c>
      <c r="K25" s="87" t="e">
        <f>IF(VLOOKUP(A25,#REF!,11,FALSE)= "", "X",IF(VLOOKUP(A25,#REF!,11,FALSE)&gt;50,"Y","N"))</f>
        <v>#REF!</v>
      </c>
      <c r="L25" s="87" t="e">
        <f>IF(VLOOKUP(A25,#REF!,12,FALSE)= "", "X",IF(VLOOKUP(A25,#REF!,12,FALSE)&gt;50,"Y","N"))</f>
        <v>#REF!</v>
      </c>
      <c r="M25" s="87" t="e">
        <f>IF(VLOOKUP(A25,#REF!,13,FALSE)= "", "X",IF(VLOOKUP(A25,#REF!,13,FALSE)&gt;50,"Y","N"))</f>
        <v>#REF!</v>
      </c>
      <c r="N25" s="87" t="e">
        <f>IF(VLOOKUP(A25,#REF!,14,FALSE)= "", "X",IF(VLOOKUP(A25,#REF!,14,FALSE)&gt;50,"Y","N"))</f>
        <v>#REF!</v>
      </c>
    </row>
    <row r="26" spans="1:14" ht="16.5" thickBot="1" x14ac:dyDescent="0.3">
      <c r="A26" s="88">
        <f>(Gradesheet!B30)</f>
        <v>0</v>
      </c>
      <c r="B26" s="89">
        <f>Gradesheet!C30</f>
        <v>0</v>
      </c>
      <c r="C26" s="87" t="e">
        <f>IF(VLOOKUP(A26,#REF!,3,FALSE)="", "X",IF(VLOOKUP(A26,#REF!,3,FALSE)&gt;50,"Y","N"))</f>
        <v>#REF!</v>
      </c>
      <c r="D26" s="87" t="e">
        <f>IF(VLOOKUP(A26,#REF!,4,FALSE)= "", "X",IF(VLOOKUP(A26,#REF!,4,FALSE)&gt;50,"Y","N"))</f>
        <v>#REF!</v>
      </c>
      <c r="E26" s="87" t="e">
        <f>IF(VLOOKUP(A26,#REF!,5,FALSE)= "", "X",IF(VLOOKUP(A26,#REF!,5,FALSE)&gt;50,"Y","N"))</f>
        <v>#REF!</v>
      </c>
      <c r="F26" s="87" t="e">
        <f>IF(VLOOKUP(A26,#REF!,6,FALSE)= "", "X",IF(VLOOKUP(A26,#REF!,6,FALSE)&gt;50,"Y","N"))</f>
        <v>#REF!</v>
      </c>
      <c r="G26" s="87" t="e">
        <f>IF(VLOOKUP(A26,#REF!,7,FALSE)= "", "X",IF(VLOOKUP(A26,#REF!,7,FALSE)&gt;50,"Y","N"))</f>
        <v>#REF!</v>
      </c>
      <c r="H26" s="87" t="e">
        <f>IF(VLOOKUP(A26,#REF!,8,FALSE)= "", "X",IF(VLOOKUP(A26,#REF!,8,FALSE)&gt;50,"Y","N"))</f>
        <v>#REF!</v>
      </c>
      <c r="I26" s="87" t="e">
        <f>IF(VLOOKUP(A26,#REF!,9,FALSE)= "", "X",IF(VLOOKUP(A26,#REF!,9,FALSE)&gt;50,"Y","N"))</f>
        <v>#REF!</v>
      </c>
      <c r="J26" s="87" t="e">
        <f>IF(VLOOKUP(A26,#REF!,10,FALSE)= "", "X",IF(VLOOKUP(A26,#REF!,10,FALSE)&gt;50,"Y","N"))</f>
        <v>#REF!</v>
      </c>
      <c r="K26" s="87" t="e">
        <f>IF(VLOOKUP(A26,#REF!,11,FALSE)= "", "X",IF(VLOOKUP(A26,#REF!,11,FALSE)&gt;50,"Y","N"))</f>
        <v>#REF!</v>
      </c>
      <c r="L26" s="87" t="e">
        <f>IF(VLOOKUP(A26,#REF!,12,FALSE)= "", "X",IF(VLOOKUP(A26,#REF!,12,FALSE)&gt;50,"Y","N"))</f>
        <v>#REF!</v>
      </c>
      <c r="M26" s="87" t="e">
        <f>IF(VLOOKUP(A26,#REF!,13,FALSE)= "", "X",IF(VLOOKUP(A26,#REF!,13,FALSE)&gt;50,"Y","N"))</f>
        <v>#REF!</v>
      </c>
      <c r="N26" s="87" t="e">
        <f>IF(VLOOKUP(A26,#REF!,14,FALSE)= "", "X",IF(VLOOKUP(A26,#REF!,14,FALSE)&gt;50,"Y","N"))</f>
        <v>#REF!</v>
      </c>
    </row>
    <row r="27" spans="1:14" ht="16.5" thickBot="1" x14ac:dyDescent="0.3">
      <c r="A27" s="88">
        <f>(Gradesheet!B31)</f>
        <v>0</v>
      </c>
      <c r="B27" s="89">
        <f>Gradesheet!C31</f>
        <v>0</v>
      </c>
      <c r="C27" s="87" t="e">
        <f>IF(VLOOKUP(A27,#REF!,3,FALSE)="", "X",IF(VLOOKUP(A27,#REF!,3,FALSE)&gt;50,"Y","N"))</f>
        <v>#REF!</v>
      </c>
      <c r="D27" s="87" t="e">
        <f>IF(VLOOKUP(A27,#REF!,4,FALSE)= "", "X",IF(VLOOKUP(A27,#REF!,4,FALSE)&gt;50,"Y","N"))</f>
        <v>#REF!</v>
      </c>
      <c r="E27" s="87" t="e">
        <f>IF(VLOOKUP(A27,#REF!,5,FALSE)= "", "X",IF(VLOOKUP(A27,#REF!,5,FALSE)&gt;50,"Y","N"))</f>
        <v>#REF!</v>
      </c>
      <c r="F27" s="87" t="e">
        <f>IF(VLOOKUP(A27,#REF!,6,FALSE)= "", "X",IF(VLOOKUP(A27,#REF!,6,FALSE)&gt;50,"Y","N"))</f>
        <v>#REF!</v>
      </c>
      <c r="G27" s="87" t="e">
        <f>IF(VLOOKUP(A27,#REF!,7,FALSE)= "", "X",IF(VLOOKUP(A27,#REF!,7,FALSE)&gt;50,"Y","N"))</f>
        <v>#REF!</v>
      </c>
      <c r="H27" s="87" t="e">
        <f>IF(VLOOKUP(A27,#REF!,8,FALSE)= "", "X",IF(VLOOKUP(A27,#REF!,8,FALSE)&gt;50,"Y","N"))</f>
        <v>#REF!</v>
      </c>
      <c r="I27" s="87" t="e">
        <f>IF(VLOOKUP(A27,#REF!,9,FALSE)= "", "X",IF(VLOOKUP(A27,#REF!,9,FALSE)&gt;50,"Y","N"))</f>
        <v>#REF!</v>
      </c>
      <c r="J27" s="87" t="e">
        <f>IF(VLOOKUP(A27,#REF!,10,FALSE)= "", "X",IF(VLOOKUP(A27,#REF!,10,FALSE)&gt;50,"Y","N"))</f>
        <v>#REF!</v>
      </c>
      <c r="K27" s="87" t="e">
        <f>IF(VLOOKUP(A27,#REF!,11,FALSE)= "", "X",IF(VLOOKUP(A27,#REF!,11,FALSE)&gt;50,"Y","N"))</f>
        <v>#REF!</v>
      </c>
      <c r="L27" s="87" t="e">
        <f>IF(VLOOKUP(A27,#REF!,12,FALSE)= "", "X",IF(VLOOKUP(A27,#REF!,12,FALSE)&gt;50,"Y","N"))</f>
        <v>#REF!</v>
      </c>
      <c r="M27" s="87" t="e">
        <f>IF(VLOOKUP(A27,#REF!,13,FALSE)= "", "X",IF(VLOOKUP(A27,#REF!,13,FALSE)&gt;50,"Y","N"))</f>
        <v>#REF!</v>
      </c>
      <c r="N27" s="87" t="e">
        <f>IF(VLOOKUP(A27,#REF!,14,FALSE)= "", "X",IF(VLOOKUP(A27,#REF!,14,FALSE)&gt;50,"Y","N"))</f>
        <v>#REF!</v>
      </c>
    </row>
    <row r="28" spans="1:14" ht="16.5" thickBot="1" x14ac:dyDescent="0.3">
      <c r="A28" s="88">
        <f>(Gradesheet!B32)</f>
        <v>0</v>
      </c>
      <c r="B28" s="89">
        <f>Gradesheet!C32</f>
        <v>0</v>
      </c>
      <c r="C28" s="87" t="e">
        <f>IF(VLOOKUP(A28,#REF!,3,FALSE)="", "X",IF(VLOOKUP(A28,#REF!,3,FALSE)&gt;50,"Y","N"))</f>
        <v>#REF!</v>
      </c>
      <c r="D28" s="87" t="e">
        <f>IF(VLOOKUP(A28,#REF!,4,FALSE)= "", "X",IF(VLOOKUP(A28,#REF!,4,FALSE)&gt;50,"Y","N"))</f>
        <v>#REF!</v>
      </c>
      <c r="E28" s="87" t="e">
        <f>IF(VLOOKUP(A28,#REF!,5,FALSE)= "", "X",IF(VLOOKUP(A28,#REF!,5,FALSE)&gt;50,"Y","N"))</f>
        <v>#REF!</v>
      </c>
      <c r="F28" s="87" t="e">
        <f>IF(VLOOKUP(A28,#REF!,6,FALSE)= "", "X",IF(VLOOKUP(A28,#REF!,6,FALSE)&gt;50,"Y","N"))</f>
        <v>#REF!</v>
      </c>
      <c r="G28" s="87" t="e">
        <f>IF(VLOOKUP(A28,#REF!,7,FALSE)= "", "X",IF(VLOOKUP(A28,#REF!,7,FALSE)&gt;50,"Y","N"))</f>
        <v>#REF!</v>
      </c>
      <c r="H28" s="87" t="e">
        <f>IF(VLOOKUP(A28,#REF!,8,FALSE)= "", "X",IF(VLOOKUP(A28,#REF!,8,FALSE)&gt;50,"Y","N"))</f>
        <v>#REF!</v>
      </c>
      <c r="I28" s="87" t="e">
        <f>IF(VLOOKUP(A28,#REF!,9,FALSE)= "", "X",IF(VLOOKUP(A28,#REF!,9,FALSE)&gt;50,"Y","N"))</f>
        <v>#REF!</v>
      </c>
      <c r="J28" s="87" t="e">
        <f>IF(VLOOKUP(A28,#REF!,10,FALSE)= "", "X",IF(VLOOKUP(A28,#REF!,10,FALSE)&gt;50,"Y","N"))</f>
        <v>#REF!</v>
      </c>
      <c r="K28" s="87" t="e">
        <f>IF(VLOOKUP(A28,#REF!,11,FALSE)= "", "X",IF(VLOOKUP(A28,#REF!,11,FALSE)&gt;50,"Y","N"))</f>
        <v>#REF!</v>
      </c>
      <c r="L28" s="87" t="e">
        <f>IF(VLOOKUP(A28,#REF!,12,FALSE)= "", "X",IF(VLOOKUP(A28,#REF!,12,FALSE)&gt;50,"Y","N"))</f>
        <v>#REF!</v>
      </c>
      <c r="M28" s="87" t="e">
        <f>IF(VLOOKUP(A28,#REF!,13,FALSE)= "", "X",IF(VLOOKUP(A28,#REF!,13,FALSE)&gt;50,"Y","N"))</f>
        <v>#REF!</v>
      </c>
      <c r="N28" s="87" t="e">
        <f>IF(VLOOKUP(A28,#REF!,14,FALSE)= "", "X",IF(VLOOKUP(A28,#REF!,14,FALSE)&gt;50,"Y","N"))</f>
        <v>#REF!</v>
      </c>
    </row>
    <row r="29" spans="1:14" ht="16.5" thickBot="1" x14ac:dyDescent="0.3">
      <c r="A29" s="88">
        <f>(Gradesheet!B33)</f>
        <v>0</v>
      </c>
      <c r="B29" s="89">
        <f>Gradesheet!C33</f>
        <v>0</v>
      </c>
      <c r="C29" s="87" t="e">
        <f>IF(VLOOKUP(A29,#REF!,3,FALSE)="", "X",IF(VLOOKUP(A29,#REF!,3,FALSE)&gt;50,"Y","N"))</f>
        <v>#REF!</v>
      </c>
      <c r="D29" s="87" t="e">
        <f>IF(VLOOKUP(A29,#REF!,4,FALSE)= "", "X",IF(VLOOKUP(A29,#REF!,4,FALSE)&gt;50,"Y","N"))</f>
        <v>#REF!</v>
      </c>
      <c r="E29" s="87" t="e">
        <f>IF(VLOOKUP(A29,#REF!,5,FALSE)= "", "X",IF(VLOOKUP(A29,#REF!,5,FALSE)&gt;50,"Y","N"))</f>
        <v>#REF!</v>
      </c>
      <c r="F29" s="87" t="e">
        <f>IF(VLOOKUP(A29,#REF!,6,FALSE)= "", "X",IF(VLOOKUP(A29,#REF!,6,FALSE)&gt;50,"Y","N"))</f>
        <v>#REF!</v>
      </c>
      <c r="G29" s="87" t="e">
        <f>IF(VLOOKUP(A29,#REF!,7,FALSE)= "", "X",IF(VLOOKUP(A29,#REF!,7,FALSE)&gt;50,"Y","N"))</f>
        <v>#REF!</v>
      </c>
      <c r="H29" s="87" t="e">
        <f>IF(VLOOKUP(A29,#REF!,8,FALSE)= "", "X",IF(VLOOKUP(A29,#REF!,8,FALSE)&gt;50,"Y","N"))</f>
        <v>#REF!</v>
      </c>
      <c r="I29" s="87" t="e">
        <f>IF(VLOOKUP(A29,#REF!,9,FALSE)= "", "X",IF(VLOOKUP(A29,#REF!,9,FALSE)&gt;50,"Y","N"))</f>
        <v>#REF!</v>
      </c>
      <c r="J29" s="87" t="e">
        <f>IF(VLOOKUP(A29,#REF!,10,FALSE)= "", "X",IF(VLOOKUP(A29,#REF!,10,FALSE)&gt;50,"Y","N"))</f>
        <v>#REF!</v>
      </c>
      <c r="K29" s="87" t="e">
        <f>IF(VLOOKUP(A29,#REF!,11,FALSE)= "", "X",IF(VLOOKUP(A29,#REF!,11,FALSE)&gt;50,"Y","N"))</f>
        <v>#REF!</v>
      </c>
      <c r="L29" s="87" t="e">
        <f>IF(VLOOKUP(A29,#REF!,12,FALSE)= "", "X",IF(VLOOKUP(A29,#REF!,12,FALSE)&gt;50,"Y","N"))</f>
        <v>#REF!</v>
      </c>
      <c r="M29" s="87" t="e">
        <f>IF(VLOOKUP(A29,#REF!,13,FALSE)= "", "X",IF(VLOOKUP(A29,#REF!,13,FALSE)&gt;50,"Y","N"))</f>
        <v>#REF!</v>
      </c>
      <c r="N29" s="87" t="e">
        <f>IF(VLOOKUP(A29,#REF!,14,FALSE)= "", "X",IF(VLOOKUP(A29,#REF!,14,FALSE)&gt;50,"Y","N"))</f>
        <v>#REF!</v>
      </c>
    </row>
    <row r="30" spans="1:14" ht="16.5" thickBot="1" x14ac:dyDescent="0.3">
      <c r="A30" s="88">
        <f>(Gradesheet!B34)</f>
        <v>0</v>
      </c>
      <c r="B30" s="89">
        <f>Gradesheet!C34</f>
        <v>0</v>
      </c>
      <c r="C30" s="87" t="e">
        <f>IF(VLOOKUP(A30,#REF!,3,FALSE)="", "X",IF(VLOOKUP(A30,#REF!,3,FALSE)&gt;50,"Y","N"))</f>
        <v>#REF!</v>
      </c>
      <c r="D30" s="87" t="e">
        <f>IF(VLOOKUP(A30,#REF!,4,FALSE)= "", "X",IF(VLOOKUP(A30,#REF!,4,FALSE)&gt;50,"Y","N"))</f>
        <v>#REF!</v>
      </c>
      <c r="E30" s="87" t="e">
        <f>IF(VLOOKUP(A30,#REF!,5,FALSE)= "", "X",IF(VLOOKUP(A30,#REF!,5,FALSE)&gt;50,"Y","N"))</f>
        <v>#REF!</v>
      </c>
      <c r="F30" s="87" t="e">
        <f>IF(VLOOKUP(A30,#REF!,6,FALSE)= "", "X",IF(VLOOKUP(A30,#REF!,6,FALSE)&gt;50,"Y","N"))</f>
        <v>#REF!</v>
      </c>
      <c r="G30" s="87" t="e">
        <f>IF(VLOOKUP(A30,#REF!,7,FALSE)= "", "X",IF(VLOOKUP(A30,#REF!,7,FALSE)&gt;50,"Y","N"))</f>
        <v>#REF!</v>
      </c>
      <c r="H30" s="87" t="e">
        <f>IF(VLOOKUP(A30,#REF!,8,FALSE)= "", "X",IF(VLOOKUP(A30,#REF!,8,FALSE)&gt;50,"Y","N"))</f>
        <v>#REF!</v>
      </c>
      <c r="I30" s="87" t="e">
        <f>IF(VLOOKUP(A30,#REF!,9,FALSE)= "", "X",IF(VLOOKUP(A30,#REF!,9,FALSE)&gt;50,"Y","N"))</f>
        <v>#REF!</v>
      </c>
      <c r="J30" s="87" t="e">
        <f>IF(VLOOKUP(A30,#REF!,10,FALSE)= "", "X",IF(VLOOKUP(A30,#REF!,10,FALSE)&gt;50,"Y","N"))</f>
        <v>#REF!</v>
      </c>
      <c r="K30" s="87" t="e">
        <f>IF(VLOOKUP(A30,#REF!,11,FALSE)= "", "X",IF(VLOOKUP(A30,#REF!,11,FALSE)&gt;50,"Y","N"))</f>
        <v>#REF!</v>
      </c>
      <c r="L30" s="87" t="e">
        <f>IF(VLOOKUP(A30,#REF!,12,FALSE)= "", "X",IF(VLOOKUP(A30,#REF!,12,FALSE)&gt;50,"Y","N"))</f>
        <v>#REF!</v>
      </c>
      <c r="M30" s="87" t="e">
        <f>IF(VLOOKUP(A30,#REF!,13,FALSE)= "", "X",IF(VLOOKUP(A30,#REF!,13,FALSE)&gt;50,"Y","N"))</f>
        <v>#REF!</v>
      </c>
      <c r="N30" s="87" t="e">
        <f>IF(VLOOKUP(A30,#REF!,14,FALSE)= "", "X",IF(VLOOKUP(A30,#REF!,14,FALSE)&gt;50,"Y","N"))</f>
        <v>#REF!</v>
      </c>
    </row>
    <row r="31" spans="1:14" ht="16.5" thickBot="1" x14ac:dyDescent="0.3">
      <c r="A31" s="88">
        <f>(Gradesheet!B35)</f>
        <v>0</v>
      </c>
      <c r="B31" s="89">
        <f>Gradesheet!C35</f>
        <v>0</v>
      </c>
      <c r="C31" s="87" t="e">
        <f>IF(VLOOKUP(A31,#REF!,3,FALSE)="", "X",IF(VLOOKUP(A31,#REF!,3,FALSE)&gt;50,"Y","N"))</f>
        <v>#REF!</v>
      </c>
      <c r="D31" s="87" t="e">
        <f>IF(VLOOKUP(A31,#REF!,4,FALSE)= "", "X",IF(VLOOKUP(A31,#REF!,4,FALSE)&gt;50,"Y","N"))</f>
        <v>#REF!</v>
      </c>
      <c r="E31" s="87" t="e">
        <f>IF(VLOOKUP(A31,#REF!,5,FALSE)= "", "X",IF(VLOOKUP(A31,#REF!,5,FALSE)&gt;50,"Y","N"))</f>
        <v>#REF!</v>
      </c>
      <c r="F31" s="87" t="e">
        <f>IF(VLOOKUP(A31,#REF!,6,FALSE)= "", "X",IF(VLOOKUP(A31,#REF!,6,FALSE)&gt;50,"Y","N"))</f>
        <v>#REF!</v>
      </c>
      <c r="G31" s="87" t="e">
        <f>IF(VLOOKUP(A31,#REF!,7,FALSE)= "", "X",IF(VLOOKUP(A31,#REF!,7,FALSE)&gt;50,"Y","N"))</f>
        <v>#REF!</v>
      </c>
      <c r="H31" s="87" t="e">
        <f>IF(VLOOKUP(A31,#REF!,8,FALSE)= "", "X",IF(VLOOKUP(A31,#REF!,8,FALSE)&gt;50,"Y","N"))</f>
        <v>#REF!</v>
      </c>
      <c r="I31" s="87" t="e">
        <f>IF(VLOOKUP(A31,#REF!,9,FALSE)= "", "X",IF(VLOOKUP(A31,#REF!,9,FALSE)&gt;50,"Y","N"))</f>
        <v>#REF!</v>
      </c>
      <c r="J31" s="87" t="e">
        <f>IF(VLOOKUP(A31,#REF!,10,FALSE)= "", "X",IF(VLOOKUP(A31,#REF!,10,FALSE)&gt;50,"Y","N"))</f>
        <v>#REF!</v>
      </c>
      <c r="K31" s="87" t="e">
        <f>IF(VLOOKUP(A31,#REF!,11,FALSE)= "", "X",IF(VLOOKUP(A31,#REF!,11,FALSE)&gt;50,"Y","N"))</f>
        <v>#REF!</v>
      </c>
      <c r="L31" s="87" t="e">
        <f>IF(VLOOKUP(A31,#REF!,12,FALSE)= "", "X",IF(VLOOKUP(A31,#REF!,12,FALSE)&gt;50,"Y","N"))</f>
        <v>#REF!</v>
      </c>
      <c r="M31" s="87" t="e">
        <f>IF(VLOOKUP(A31,#REF!,13,FALSE)= "", "X",IF(VLOOKUP(A31,#REF!,13,FALSE)&gt;50,"Y","N"))</f>
        <v>#REF!</v>
      </c>
      <c r="N31" s="87" t="e">
        <f>IF(VLOOKUP(A31,#REF!,14,FALSE)= "", "X",IF(VLOOKUP(A31,#REF!,14,FALSE)&gt;50,"Y","N"))</f>
        <v>#REF!</v>
      </c>
    </row>
    <row r="32" spans="1:14" ht="16.5" thickBot="1" x14ac:dyDescent="0.3">
      <c r="A32" s="88">
        <f>(Gradesheet!B36)</f>
        <v>0</v>
      </c>
      <c r="B32" s="89">
        <f>Gradesheet!C36</f>
        <v>0</v>
      </c>
      <c r="C32" s="87" t="e">
        <f>IF(VLOOKUP(A32,#REF!,3,FALSE)="", "X",IF(VLOOKUP(A32,#REF!,3,FALSE)&gt;50,"Y","N"))</f>
        <v>#REF!</v>
      </c>
      <c r="D32" s="87" t="e">
        <f>IF(VLOOKUP(A32,#REF!,4,FALSE)= "", "X",IF(VLOOKUP(A32,#REF!,4,FALSE)&gt;50,"Y","N"))</f>
        <v>#REF!</v>
      </c>
      <c r="E32" s="87" t="e">
        <f>IF(VLOOKUP(A32,#REF!,5,FALSE)= "", "X",IF(VLOOKUP(A32,#REF!,5,FALSE)&gt;50,"Y","N"))</f>
        <v>#REF!</v>
      </c>
      <c r="F32" s="87" t="e">
        <f>IF(VLOOKUP(A32,#REF!,6,FALSE)= "", "X",IF(VLOOKUP(A32,#REF!,6,FALSE)&gt;50,"Y","N"))</f>
        <v>#REF!</v>
      </c>
      <c r="G32" s="87" t="e">
        <f>IF(VLOOKUP(A32,#REF!,7,FALSE)= "", "X",IF(VLOOKUP(A32,#REF!,7,FALSE)&gt;50,"Y","N"))</f>
        <v>#REF!</v>
      </c>
      <c r="H32" s="87" t="e">
        <f>IF(VLOOKUP(A32,#REF!,8,FALSE)= "", "X",IF(VLOOKUP(A32,#REF!,8,FALSE)&gt;50,"Y","N"))</f>
        <v>#REF!</v>
      </c>
      <c r="I32" s="87" t="e">
        <f>IF(VLOOKUP(A32,#REF!,9,FALSE)= "", "X",IF(VLOOKUP(A32,#REF!,9,FALSE)&gt;50,"Y","N"))</f>
        <v>#REF!</v>
      </c>
      <c r="J32" s="87" t="e">
        <f>IF(VLOOKUP(A32,#REF!,10,FALSE)= "", "X",IF(VLOOKUP(A32,#REF!,10,FALSE)&gt;50,"Y","N"))</f>
        <v>#REF!</v>
      </c>
      <c r="K32" s="87" t="e">
        <f>IF(VLOOKUP(A32,#REF!,11,FALSE)= "", "X",IF(VLOOKUP(A32,#REF!,11,FALSE)&gt;50,"Y","N"))</f>
        <v>#REF!</v>
      </c>
      <c r="L32" s="87" t="e">
        <f>IF(VLOOKUP(A32,#REF!,12,FALSE)= "", "X",IF(VLOOKUP(A32,#REF!,12,FALSE)&gt;50,"Y","N"))</f>
        <v>#REF!</v>
      </c>
      <c r="M32" s="87" t="e">
        <f>IF(VLOOKUP(A32,#REF!,13,FALSE)= "", "X",IF(VLOOKUP(A32,#REF!,13,FALSE)&gt;50,"Y","N"))</f>
        <v>#REF!</v>
      </c>
      <c r="N32" s="87" t="e">
        <f>IF(VLOOKUP(A32,#REF!,14,FALSE)= "", "X",IF(VLOOKUP(A32,#REF!,14,FALSE)&gt;50,"Y","N"))</f>
        <v>#REF!</v>
      </c>
    </row>
    <row r="33" spans="1:14" ht="16.5" thickBot="1" x14ac:dyDescent="0.3">
      <c r="A33" s="88">
        <f>(Gradesheet!B37)</f>
        <v>0</v>
      </c>
      <c r="B33" s="89">
        <f>Gradesheet!C37</f>
        <v>0</v>
      </c>
      <c r="C33" s="87" t="e">
        <f>IF(VLOOKUP(A33,#REF!,3,FALSE)="", "X",IF(VLOOKUP(A33,#REF!,3,FALSE)&gt;50,"Y","N"))</f>
        <v>#REF!</v>
      </c>
      <c r="D33" s="87" t="e">
        <f>IF(VLOOKUP(A33,#REF!,4,FALSE)= "", "X",IF(VLOOKUP(A33,#REF!,4,FALSE)&gt;50,"Y","N"))</f>
        <v>#REF!</v>
      </c>
      <c r="E33" s="87" t="e">
        <f>IF(VLOOKUP(A33,#REF!,5,FALSE)= "", "X",IF(VLOOKUP(A33,#REF!,5,FALSE)&gt;50,"Y","N"))</f>
        <v>#REF!</v>
      </c>
      <c r="F33" s="87" t="e">
        <f>IF(VLOOKUP(A33,#REF!,6,FALSE)= "", "X",IF(VLOOKUP(A33,#REF!,6,FALSE)&gt;50,"Y","N"))</f>
        <v>#REF!</v>
      </c>
      <c r="G33" s="87" t="e">
        <f>IF(VLOOKUP(A33,#REF!,7,FALSE)= "", "X",IF(VLOOKUP(A33,#REF!,7,FALSE)&gt;50,"Y","N"))</f>
        <v>#REF!</v>
      </c>
      <c r="H33" s="87" t="e">
        <f>IF(VLOOKUP(A33,#REF!,8,FALSE)= "", "X",IF(VLOOKUP(A33,#REF!,8,FALSE)&gt;50,"Y","N"))</f>
        <v>#REF!</v>
      </c>
      <c r="I33" s="87" t="e">
        <f>IF(VLOOKUP(A33,#REF!,9,FALSE)= "", "X",IF(VLOOKUP(A33,#REF!,9,FALSE)&gt;50,"Y","N"))</f>
        <v>#REF!</v>
      </c>
      <c r="J33" s="87" t="e">
        <f>IF(VLOOKUP(A33,#REF!,10,FALSE)= "", "X",IF(VLOOKUP(A33,#REF!,10,FALSE)&gt;50,"Y","N"))</f>
        <v>#REF!</v>
      </c>
      <c r="K33" s="87" t="e">
        <f>IF(VLOOKUP(A33,#REF!,11,FALSE)= "", "X",IF(VLOOKUP(A33,#REF!,11,FALSE)&gt;50,"Y","N"))</f>
        <v>#REF!</v>
      </c>
      <c r="L33" s="87" t="e">
        <f>IF(VLOOKUP(A33,#REF!,12,FALSE)= "", "X",IF(VLOOKUP(A33,#REF!,12,FALSE)&gt;50,"Y","N"))</f>
        <v>#REF!</v>
      </c>
      <c r="M33" s="87" t="e">
        <f>IF(VLOOKUP(A33,#REF!,13,FALSE)= "", "X",IF(VLOOKUP(A33,#REF!,13,FALSE)&gt;50,"Y","N"))</f>
        <v>#REF!</v>
      </c>
      <c r="N33" s="87" t="e">
        <f>IF(VLOOKUP(A33,#REF!,14,FALSE)= "", "X",IF(VLOOKUP(A33,#REF!,14,FALSE)&gt;50,"Y","N"))</f>
        <v>#REF!</v>
      </c>
    </row>
    <row r="34" spans="1:14" ht="16.5" thickBot="1" x14ac:dyDescent="0.3">
      <c r="A34" s="88">
        <f>(Gradesheet!B38)</f>
        <v>0</v>
      </c>
      <c r="B34" s="89">
        <f>Gradesheet!C38</f>
        <v>0</v>
      </c>
      <c r="C34" s="87" t="e">
        <f>IF(VLOOKUP(A34,#REF!,3,FALSE)="", "X",IF(VLOOKUP(A34,#REF!,3,FALSE)&gt;50,"Y","N"))</f>
        <v>#REF!</v>
      </c>
      <c r="D34" s="87" t="e">
        <f>IF(VLOOKUP(A34,#REF!,4,FALSE)= "", "X",IF(VLOOKUP(A34,#REF!,4,FALSE)&gt;50,"Y","N"))</f>
        <v>#REF!</v>
      </c>
      <c r="E34" s="87" t="e">
        <f>IF(VLOOKUP(A34,#REF!,5,FALSE)= "", "X",IF(VLOOKUP(A34,#REF!,5,FALSE)&gt;50,"Y","N"))</f>
        <v>#REF!</v>
      </c>
      <c r="F34" s="87" t="e">
        <f>IF(VLOOKUP(A34,#REF!,6,FALSE)= "", "X",IF(VLOOKUP(A34,#REF!,6,FALSE)&gt;50,"Y","N"))</f>
        <v>#REF!</v>
      </c>
      <c r="G34" s="87" t="e">
        <f>IF(VLOOKUP(A34,#REF!,7,FALSE)= "", "X",IF(VLOOKUP(A34,#REF!,7,FALSE)&gt;50,"Y","N"))</f>
        <v>#REF!</v>
      </c>
      <c r="H34" s="87" t="e">
        <f>IF(VLOOKUP(A34,#REF!,8,FALSE)= "", "X",IF(VLOOKUP(A34,#REF!,8,FALSE)&gt;50,"Y","N"))</f>
        <v>#REF!</v>
      </c>
      <c r="I34" s="87" t="e">
        <f>IF(VLOOKUP(A34,#REF!,9,FALSE)= "", "X",IF(VLOOKUP(A34,#REF!,9,FALSE)&gt;50,"Y","N"))</f>
        <v>#REF!</v>
      </c>
      <c r="J34" s="87" t="e">
        <f>IF(VLOOKUP(A34,#REF!,10,FALSE)= "", "X",IF(VLOOKUP(A34,#REF!,10,FALSE)&gt;50,"Y","N"))</f>
        <v>#REF!</v>
      </c>
      <c r="K34" s="87" t="e">
        <f>IF(VLOOKUP(A34,#REF!,11,FALSE)= "", "X",IF(VLOOKUP(A34,#REF!,11,FALSE)&gt;50,"Y","N"))</f>
        <v>#REF!</v>
      </c>
      <c r="L34" s="87" t="e">
        <f>IF(VLOOKUP(A34,#REF!,12,FALSE)= "", "X",IF(VLOOKUP(A34,#REF!,12,FALSE)&gt;50,"Y","N"))</f>
        <v>#REF!</v>
      </c>
      <c r="M34" s="87" t="e">
        <f>IF(VLOOKUP(A34,#REF!,13,FALSE)= "", "X",IF(VLOOKUP(A34,#REF!,13,FALSE)&gt;50,"Y","N"))</f>
        <v>#REF!</v>
      </c>
      <c r="N34" s="87" t="e">
        <f>IF(VLOOKUP(A34,#REF!,14,FALSE)= "", "X",IF(VLOOKUP(A34,#REF!,14,FALSE)&gt;50,"Y","N"))</f>
        <v>#REF!</v>
      </c>
    </row>
    <row r="35" spans="1:14" ht="16.5" thickBot="1" x14ac:dyDescent="0.3">
      <c r="A35" s="88">
        <f>(Gradesheet!B39)</f>
        <v>0</v>
      </c>
      <c r="B35" s="89">
        <f>Gradesheet!C39</f>
        <v>0</v>
      </c>
      <c r="C35" s="87" t="e">
        <f>IF(VLOOKUP(A35,#REF!,3,FALSE)="", "X",IF(VLOOKUP(A35,#REF!,3,FALSE)&gt;50,"Y","N"))</f>
        <v>#REF!</v>
      </c>
      <c r="D35" s="87" t="e">
        <f>IF(VLOOKUP(A35,#REF!,4,FALSE)= "", "X",IF(VLOOKUP(A35,#REF!,4,FALSE)&gt;50,"Y","N"))</f>
        <v>#REF!</v>
      </c>
      <c r="E35" s="87" t="e">
        <f>IF(VLOOKUP(A35,#REF!,5,FALSE)= "", "X",IF(VLOOKUP(A35,#REF!,5,FALSE)&gt;50,"Y","N"))</f>
        <v>#REF!</v>
      </c>
      <c r="F35" s="87" t="e">
        <f>IF(VLOOKUP(A35,#REF!,6,FALSE)= "", "X",IF(VLOOKUP(A35,#REF!,6,FALSE)&gt;50,"Y","N"))</f>
        <v>#REF!</v>
      </c>
      <c r="G35" s="87" t="e">
        <f>IF(VLOOKUP(A35,#REF!,7,FALSE)= "", "X",IF(VLOOKUP(A35,#REF!,7,FALSE)&gt;50,"Y","N"))</f>
        <v>#REF!</v>
      </c>
      <c r="H35" s="87" t="e">
        <f>IF(VLOOKUP(A35,#REF!,8,FALSE)= "", "X",IF(VLOOKUP(A35,#REF!,8,FALSE)&gt;50,"Y","N"))</f>
        <v>#REF!</v>
      </c>
      <c r="I35" s="87" t="e">
        <f>IF(VLOOKUP(A35,#REF!,9,FALSE)= "", "X",IF(VLOOKUP(A35,#REF!,9,FALSE)&gt;50,"Y","N"))</f>
        <v>#REF!</v>
      </c>
      <c r="J35" s="87" t="e">
        <f>IF(VLOOKUP(A35,#REF!,10,FALSE)= "", "X",IF(VLOOKUP(A35,#REF!,10,FALSE)&gt;50,"Y","N"))</f>
        <v>#REF!</v>
      </c>
      <c r="K35" s="87" t="e">
        <f>IF(VLOOKUP(A35,#REF!,11,FALSE)= "", "X",IF(VLOOKUP(A35,#REF!,11,FALSE)&gt;50,"Y","N"))</f>
        <v>#REF!</v>
      </c>
      <c r="L35" s="87" t="e">
        <f>IF(VLOOKUP(A35,#REF!,12,FALSE)= "", "X",IF(VLOOKUP(A35,#REF!,12,FALSE)&gt;50,"Y","N"))</f>
        <v>#REF!</v>
      </c>
      <c r="M35" s="87" t="e">
        <f>IF(VLOOKUP(A35,#REF!,13,FALSE)= "", "X",IF(VLOOKUP(A35,#REF!,13,FALSE)&gt;50,"Y","N"))</f>
        <v>#REF!</v>
      </c>
      <c r="N35" s="87" t="e">
        <f>IF(VLOOKUP(A35,#REF!,14,FALSE)= "", "X",IF(VLOOKUP(A35,#REF!,14,FALSE)&gt;50,"Y","N"))</f>
        <v>#REF!</v>
      </c>
    </row>
    <row r="36" spans="1:14" ht="16.5" thickBot="1" x14ac:dyDescent="0.3">
      <c r="A36" s="88">
        <f>(Gradesheet!B40)</f>
        <v>0</v>
      </c>
      <c r="B36" s="89">
        <f>Gradesheet!C40</f>
        <v>0</v>
      </c>
      <c r="C36" s="87" t="e">
        <f>IF(VLOOKUP(A36,#REF!,3,FALSE)="", "X",IF(VLOOKUP(A36,#REF!,3,FALSE)&gt;50,"Y","N"))</f>
        <v>#REF!</v>
      </c>
      <c r="D36" s="87" t="e">
        <f>IF(VLOOKUP(A36,#REF!,4,FALSE)= "", "X",IF(VLOOKUP(A36,#REF!,4,FALSE)&gt;50,"Y","N"))</f>
        <v>#REF!</v>
      </c>
      <c r="E36" s="87" t="e">
        <f>IF(VLOOKUP(A36,#REF!,5,FALSE)= "", "X",IF(VLOOKUP(A36,#REF!,5,FALSE)&gt;50,"Y","N"))</f>
        <v>#REF!</v>
      </c>
      <c r="F36" s="87" t="e">
        <f>IF(VLOOKUP(A36,#REF!,6,FALSE)= "", "X",IF(VLOOKUP(A36,#REF!,6,FALSE)&gt;50,"Y","N"))</f>
        <v>#REF!</v>
      </c>
      <c r="G36" s="87" t="e">
        <f>IF(VLOOKUP(A36,#REF!,7,FALSE)= "", "X",IF(VLOOKUP(A36,#REF!,7,FALSE)&gt;50,"Y","N"))</f>
        <v>#REF!</v>
      </c>
      <c r="H36" s="87" t="e">
        <f>IF(VLOOKUP(A36,#REF!,8,FALSE)= "", "X",IF(VLOOKUP(A36,#REF!,8,FALSE)&gt;50,"Y","N"))</f>
        <v>#REF!</v>
      </c>
      <c r="I36" s="87" t="e">
        <f>IF(VLOOKUP(A36,#REF!,9,FALSE)= "", "X",IF(VLOOKUP(A36,#REF!,9,FALSE)&gt;50,"Y","N"))</f>
        <v>#REF!</v>
      </c>
      <c r="J36" s="87" t="e">
        <f>IF(VLOOKUP(A36,#REF!,10,FALSE)= "", "X",IF(VLOOKUP(A36,#REF!,10,FALSE)&gt;50,"Y","N"))</f>
        <v>#REF!</v>
      </c>
      <c r="K36" s="87" t="e">
        <f>IF(VLOOKUP(A36,#REF!,11,FALSE)= "", "X",IF(VLOOKUP(A36,#REF!,11,FALSE)&gt;50,"Y","N"))</f>
        <v>#REF!</v>
      </c>
      <c r="L36" s="87" t="e">
        <f>IF(VLOOKUP(A36,#REF!,12,FALSE)= "", "X",IF(VLOOKUP(A36,#REF!,12,FALSE)&gt;50,"Y","N"))</f>
        <v>#REF!</v>
      </c>
      <c r="M36" s="87" t="e">
        <f>IF(VLOOKUP(A36,#REF!,13,FALSE)= "", "X",IF(VLOOKUP(A36,#REF!,13,FALSE)&gt;50,"Y","N"))</f>
        <v>#REF!</v>
      </c>
      <c r="N36" s="87" t="e">
        <f>IF(VLOOKUP(A36,#REF!,14,FALSE)= "", "X",IF(VLOOKUP(A36,#REF!,14,FALSE)&gt;50,"Y","N"))</f>
        <v>#REF!</v>
      </c>
    </row>
    <row r="37" spans="1:14" ht="16.5" thickBot="1" x14ac:dyDescent="0.3">
      <c r="A37" s="88">
        <f>(Gradesheet!B41)</f>
        <v>0</v>
      </c>
      <c r="B37" s="89">
        <f>Gradesheet!C41</f>
        <v>0</v>
      </c>
      <c r="C37" s="87" t="e">
        <f>IF(VLOOKUP(A37,#REF!,3,FALSE)="", "X",IF(VLOOKUP(A37,#REF!,3,FALSE)&gt;50,"Y","N"))</f>
        <v>#REF!</v>
      </c>
      <c r="D37" s="87" t="e">
        <f>IF(VLOOKUP(A37,#REF!,4,FALSE)= "", "X",IF(VLOOKUP(A37,#REF!,4,FALSE)&gt;50,"Y","N"))</f>
        <v>#REF!</v>
      </c>
      <c r="E37" s="87" t="e">
        <f>IF(VLOOKUP(A37,#REF!,5,FALSE)= "", "X",IF(VLOOKUP(A37,#REF!,5,FALSE)&gt;50,"Y","N"))</f>
        <v>#REF!</v>
      </c>
      <c r="F37" s="87" t="e">
        <f>IF(VLOOKUP(A37,#REF!,6,FALSE)= "", "X",IF(VLOOKUP(A37,#REF!,6,FALSE)&gt;50,"Y","N"))</f>
        <v>#REF!</v>
      </c>
      <c r="G37" s="87" t="e">
        <f>IF(VLOOKUP(A37,#REF!,7,FALSE)= "", "X",IF(VLOOKUP(A37,#REF!,7,FALSE)&gt;50,"Y","N"))</f>
        <v>#REF!</v>
      </c>
      <c r="H37" s="87" t="e">
        <f>IF(VLOOKUP(A37,#REF!,8,FALSE)= "", "X",IF(VLOOKUP(A37,#REF!,8,FALSE)&gt;50,"Y","N"))</f>
        <v>#REF!</v>
      </c>
      <c r="I37" s="87" t="e">
        <f>IF(VLOOKUP(A37,#REF!,9,FALSE)= "", "X",IF(VLOOKUP(A37,#REF!,9,FALSE)&gt;50,"Y","N"))</f>
        <v>#REF!</v>
      </c>
      <c r="J37" s="87" t="e">
        <f>IF(VLOOKUP(A37,#REF!,10,FALSE)= "", "X",IF(VLOOKUP(A37,#REF!,10,FALSE)&gt;50,"Y","N"))</f>
        <v>#REF!</v>
      </c>
      <c r="K37" s="87" t="e">
        <f>IF(VLOOKUP(A37,#REF!,11,FALSE)= "", "X",IF(VLOOKUP(A37,#REF!,11,FALSE)&gt;50,"Y","N"))</f>
        <v>#REF!</v>
      </c>
      <c r="L37" s="87" t="e">
        <f>IF(VLOOKUP(A37,#REF!,12,FALSE)= "", "X",IF(VLOOKUP(A37,#REF!,12,FALSE)&gt;50,"Y","N"))</f>
        <v>#REF!</v>
      </c>
      <c r="M37" s="87" t="e">
        <f>IF(VLOOKUP(A37,#REF!,13,FALSE)= "", "X",IF(VLOOKUP(A37,#REF!,13,FALSE)&gt;50,"Y","N"))</f>
        <v>#REF!</v>
      </c>
      <c r="N37" s="87" t="e">
        <f>IF(VLOOKUP(A37,#REF!,14,FALSE)= "", "X",IF(VLOOKUP(A37,#REF!,14,FALSE)&gt;50,"Y","N"))</f>
        <v>#REF!</v>
      </c>
    </row>
    <row r="38" spans="1:14" ht="16.5" thickBot="1" x14ac:dyDescent="0.3">
      <c r="A38" s="88">
        <f>(Gradesheet!B42)</f>
        <v>0</v>
      </c>
      <c r="B38" s="89">
        <f>Gradesheet!C42</f>
        <v>0</v>
      </c>
      <c r="C38" s="87" t="e">
        <f>IF(VLOOKUP(A38,#REF!,3,FALSE)="", "X",IF(VLOOKUP(A38,#REF!,3,FALSE)&gt;50,"Y","N"))</f>
        <v>#REF!</v>
      </c>
      <c r="D38" s="87" t="e">
        <f>IF(VLOOKUP(A38,#REF!,4,FALSE)= "", "X",IF(VLOOKUP(A38,#REF!,4,FALSE)&gt;50,"Y","N"))</f>
        <v>#REF!</v>
      </c>
      <c r="E38" s="87" t="e">
        <f>IF(VLOOKUP(A38,#REF!,5,FALSE)= "", "X",IF(VLOOKUP(A38,#REF!,5,FALSE)&gt;50,"Y","N"))</f>
        <v>#REF!</v>
      </c>
      <c r="F38" s="87" t="e">
        <f>IF(VLOOKUP(A38,#REF!,6,FALSE)= "", "X",IF(VLOOKUP(A38,#REF!,6,FALSE)&gt;50,"Y","N"))</f>
        <v>#REF!</v>
      </c>
      <c r="G38" s="87" t="e">
        <f>IF(VLOOKUP(A38,#REF!,7,FALSE)= "", "X",IF(VLOOKUP(A38,#REF!,7,FALSE)&gt;50,"Y","N"))</f>
        <v>#REF!</v>
      </c>
      <c r="H38" s="87" t="e">
        <f>IF(VLOOKUP(A38,#REF!,8,FALSE)= "", "X",IF(VLOOKUP(A38,#REF!,8,FALSE)&gt;50,"Y","N"))</f>
        <v>#REF!</v>
      </c>
      <c r="I38" s="87" t="e">
        <f>IF(VLOOKUP(A38,#REF!,9,FALSE)= "", "X",IF(VLOOKUP(A38,#REF!,9,FALSE)&gt;50,"Y","N"))</f>
        <v>#REF!</v>
      </c>
      <c r="J38" s="87" t="e">
        <f>IF(VLOOKUP(A38,#REF!,10,FALSE)= "", "X",IF(VLOOKUP(A38,#REF!,10,FALSE)&gt;50,"Y","N"))</f>
        <v>#REF!</v>
      </c>
      <c r="K38" s="87" t="e">
        <f>IF(VLOOKUP(A38,#REF!,11,FALSE)= "", "X",IF(VLOOKUP(A38,#REF!,11,FALSE)&gt;50,"Y","N"))</f>
        <v>#REF!</v>
      </c>
      <c r="L38" s="87" t="e">
        <f>IF(VLOOKUP(A38,#REF!,12,FALSE)= "", "X",IF(VLOOKUP(A38,#REF!,12,FALSE)&gt;50,"Y","N"))</f>
        <v>#REF!</v>
      </c>
      <c r="M38" s="87" t="e">
        <f>IF(VLOOKUP(A38,#REF!,13,FALSE)= "", "X",IF(VLOOKUP(A38,#REF!,13,FALSE)&gt;50,"Y","N"))</f>
        <v>#REF!</v>
      </c>
      <c r="N38" s="87" t="e">
        <f>IF(VLOOKUP(A38,#REF!,14,FALSE)= "", "X",IF(VLOOKUP(A38,#REF!,14,FALSE)&gt;50,"Y","N"))</f>
        <v>#REF!</v>
      </c>
    </row>
    <row r="39" spans="1:14" ht="16.5" thickBot="1" x14ac:dyDescent="0.3">
      <c r="A39" s="88">
        <f>(Gradesheet!B43)</f>
        <v>0</v>
      </c>
      <c r="B39" s="89">
        <f>Gradesheet!C43</f>
        <v>0</v>
      </c>
      <c r="C39" s="87" t="e">
        <f>IF(VLOOKUP(A39,#REF!,3,FALSE)="", "X",IF(VLOOKUP(A39,#REF!,3,FALSE)&gt;50,"Y","N"))</f>
        <v>#REF!</v>
      </c>
      <c r="D39" s="87" t="e">
        <f>IF(VLOOKUP(A39,#REF!,4,FALSE)= "", "X",IF(VLOOKUP(A39,#REF!,4,FALSE)&gt;50,"Y","N"))</f>
        <v>#REF!</v>
      </c>
      <c r="E39" s="87" t="e">
        <f>IF(VLOOKUP(A39,#REF!,5,FALSE)= "", "X",IF(VLOOKUP(A39,#REF!,5,FALSE)&gt;50,"Y","N"))</f>
        <v>#REF!</v>
      </c>
      <c r="F39" s="87" t="e">
        <f>IF(VLOOKUP(A39,#REF!,6,FALSE)= "", "X",IF(VLOOKUP(A39,#REF!,6,FALSE)&gt;50,"Y","N"))</f>
        <v>#REF!</v>
      </c>
      <c r="G39" s="87" t="e">
        <f>IF(VLOOKUP(A39,#REF!,7,FALSE)= "", "X",IF(VLOOKUP(A39,#REF!,7,FALSE)&gt;50,"Y","N"))</f>
        <v>#REF!</v>
      </c>
      <c r="H39" s="87" t="e">
        <f>IF(VLOOKUP(A39,#REF!,8,FALSE)= "", "X",IF(VLOOKUP(A39,#REF!,8,FALSE)&gt;50,"Y","N"))</f>
        <v>#REF!</v>
      </c>
      <c r="I39" s="87" t="e">
        <f>IF(VLOOKUP(A39,#REF!,9,FALSE)= "", "X",IF(VLOOKUP(A39,#REF!,9,FALSE)&gt;50,"Y","N"))</f>
        <v>#REF!</v>
      </c>
      <c r="J39" s="87" t="e">
        <f>IF(VLOOKUP(A39,#REF!,10,FALSE)= "", "X",IF(VLOOKUP(A39,#REF!,10,FALSE)&gt;50,"Y","N"))</f>
        <v>#REF!</v>
      </c>
      <c r="K39" s="87" t="e">
        <f>IF(VLOOKUP(A39,#REF!,11,FALSE)= "", "X",IF(VLOOKUP(A39,#REF!,11,FALSE)&gt;50,"Y","N"))</f>
        <v>#REF!</v>
      </c>
      <c r="L39" s="87" t="e">
        <f>IF(VLOOKUP(A39,#REF!,12,FALSE)= "", "X",IF(VLOOKUP(A39,#REF!,12,FALSE)&gt;50,"Y","N"))</f>
        <v>#REF!</v>
      </c>
      <c r="M39" s="87" t="e">
        <f>IF(VLOOKUP(A39,#REF!,13,FALSE)= "", "X",IF(VLOOKUP(A39,#REF!,13,FALSE)&gt;50,"Y","N"))</f>
        <v>#REF!</v>
      </c>
      <c r="N39" s="87" t="e">
        <f>IF(VLOOKUP(A39,#REF!,14,FALSE)= "", "X",IF(VLOOKUP(A39,#REF!,14,FALSE)&gt;50,"Y","N"))</f>
        <v>#REF!</v>
      </c>
    </row>
    <row r="40" spans="1:14" ht="16.5" thickBot="1" x14ac:dyDescent="0.3">
      <c r="A40" s="88">
        <f>(Gradesheet!B44)</f>
        <v>0</v>
      </c>
      <c r="B40" s="89">
        <f>Gradesheet!C44</f>
        <v>0</v>
      </c>
      <c r="C40" s="87" t="e">
        <f>IF(VLOOKUP(A40,#REF!,3,FALSE)="", "X",IF(VLOOKUP(A40,#REF!,3,FALSE)&gt;50,"Y","N"))</f>
        <v>#REF!</v>
      </c>
      <c r="D40" s="87" t="e">
        <f>IF(VLOOKUP(A40,#REF!,4,FALSE)= "", "X",IF(VLOOKUP(A40,#REF!,4,FALSE)&gt;50,"Y","N"))</f>
        <v>#REF!</v>
      </c>
      <c r="E40" s="87" t="e">
        <f>IF(VLOOKUP(A40,#REF!,5,FALSE)= "", "X",IF(VLOOKUP(A40,#REF!,5,FALSE)&gt;50,"Y","N"))</f>
        <v>#REF!</v>
      </c>
      <c r="F40" s="87" t="e">
        <f>IF(VLOOKUP(A40,#REF!,6,FALSE)= "", "X",IF(VLOOKUP(A40,#REF!,6,FALSE)&gt;50,"Y","N"))</f>
        <v>#REF!</v>
      </c>
      <c r="G40" s="87" t="e">
        <f>IF(VLOOKUP(A40,#REF!,7,FALSE)= "", "X",IF(VLOOKUP(A40,#REF!,7,FALSE)&gt;50,"Y","N"))</f>
        <v>#REF!</v>
      </c>
      <c r="H40" s="87" t="e">
        <f>IF(VLOOKUP(A40,#REF!,8,FALSE)= "", "X",IF(VLOOKUP(A40,#REF!,8,FALSE)&gt;50,"Y","N"))</f>
        <v>#REF!</v>
      </c>
      <c r="I40" s="87" t="e">
        <f>IF(VLOOKUP(A40,#REF!,9,FALSE)= "", "X",IF(VLOOKUP(A40,#REF!,9,FALSE)&gt;50,"Y","N"))</f>
        <v>#REF!</v>
      </c>
      <c r="J40" s="87" t="e">
        <f>IF(VLOOKUP(A40,#REF!,10,FALSE)= "", "X",IF(VLOOKUP(A40,#REF!,10,FALSE)&gt;50,"Y","N"))</f>
        <v>#REF!</v>
      </c>
      <c r="K40" s="87" t="e">
        <f>IF(VLOOKUP(A40,#REF!,11,FALSE)= "", "X",IF(VLOOKUP(A40,#REF!,11,FALSE)&gt;50,"Y","N"))</f>
        <v>#REF!</v>
      </c>
      <c r="L40" s="87" t="e">
        <f>IF(VLOOKUP(A40,#REF!,12,FALSE)= "", "X",IF(VLOOKUP(A40,#REF!,12,FALSE)&gt;50,"Y","N"))</f>
        <v>#REF!</v>
      </c>
      <c r="M40" s="87" t="e">
        <f>IF(VLOOKUP(A40,#REF!,13,FALSE)= "", "X",IF(VLOOKUP(A40,#REF!,13,FALSE)&gt;50,"Y","N"))</f>
        <v>#REF!</v>
      </c>
      <c r="N40" s="87" t="e">
        <f>IF(VLOOKUP(A40,#REF!,14,FALSE)= "", "X",IF(VLOOKUP(A40,#REF!,14,FALSE)&gt;50,"Y","N"))</f>
        <v>#REF!</v>
      </c>
    </row>
    <row r="41" spans="1:14" ht="16.5" thickBot="1" x14ac:dyDescent="0.3">
      <c r="A41" s="88">
        <f>(Gradesheet!B45)</f>
        <v>0</v>
      </c>
      <c r="B41" s="89">
        <f>Gradesheet!C45</f>
        <v>0</v>
      </c>
      <c r="C41" s="87" t="e">
        <f>IF(VLOOKUP(A41,#REF!,3,FALSE)="", "X",IF(VLOOKUP(A41,#REF!,3,FALSE)&gt;50,"Y","N"))</f>
        <v>#REF!</v>
      </c>
      <c r="D41" s="87" t="e">
        <f>IF(VLOOKUP(A41,#REF!,4,FALSE)= "", "X",IF(VLOOKUP(A41,#REF!,4,FALSE)&gt;50,"Y","N"))</f>
        <v>#REF!</v>
      </c>
      <c r="E41" s="87" t="e">
        <f>IF(VLOOKUP(A41,#REF!,5,FALSE)= "", "X",IF(VLOOKUP(A41,#REF!,5,FALSE)&gt;50,"Y","N"))</f>
        <v>#REF!</v>
      </c>
      <c r="F41" s="87" t="e">
        <f>IF(VLOOKUP(A41,#REF!,6,FALSE)= "", "X",IF(VLOOKUP(A41,#REF!,6,FALSE)&gt;50,"Y","N"))</f>
        <v>#REF!</v>
      </c>
      <c r="G41" s="87" t="e">
        <f>IF(VLOOKUP(A41,#REF!,7,FALSE)= "", "X",IF(VLOOKUP(A41,#REF!,7,FALSE)&gt;50,"Y","N"))</f>
        <v>#REF!</v>
      </c>
      <c r="H41" s="87" t="e">
        <f>IF(VLOOKUP(A41,#REF!,8,FALSE)= "", "X",IF(VLOOKUP(A41,#REF!,8,FALSE)&gt;50,"Y","N"))</f>
        <v>#REF!</v>
      </c>
      <c r="I41" s="87" t="e">
        <f>IF(VLOOKUP(A41,#REF!,9,FALSE)= "", "X",IF(VLOOKUP(A41,#REF!,9,FALSE)&gt;50,"Y","N"))</f>
        <v>#REF!</v>
      </c>
      <c r="J41" s="87" t="e">
        <f>IF(VLOOKUP(A41,#REF!,10,FALSE)= "", "X",IF(VLOOKUP(A41,#REF!,10,FALSE)&gt;50,"Y","N"))</f>
        <v>#REF!</v>
      </c>
      <c r="K41" s="87" t="e">
        <f>IF(VLOOKUP(A41,#REF!,11,FALSE)= "", "X",IF(VLOOKUP(A41,#REF!,11,FALSE)&gt;50,"Y","N"))</f>
        <v>#REF!</v>
      </c>
      <c r="L41" s="87" t="e">
        <f>IF(VLOOKUP(A41,#REF!,12,FALSE)= "", "X",IF(VLOOKUP(A41,#REF!,12,FALSE)&gt;50,"Y","N"))</f>
        <v>#REF!</v>
      </c>
      <c r="M41" s="87" t="e">
        <f>IF(VLOOKUP(A41,#REF!,13,FALSE)= "", "X",IF(VLOOKUP(A41,#REF!,13,FALSE)&gt;50,"Y","N"))</f>
        <v>#REF!</v>
      </c>
      <c r="N41" s="87" t="e">
        <f>IF(VLOOKUP(A41,#REF!,14,FALSE)= "", "X",IF(VLOOKUP(A41,#REF!,14,FALSE)&gt;50,"Y","N"))</f>
        <v>#REF!</v>
      </c>
    </row>
    <row r="42" spans="1:14" ht="16.5" thickBot="1" x14ac:dyDescent="0.3">
      <c r="A42" s="88">
        <f>(Gradesheet!B46)</f>
        <v>0</v>
      </c>
      <c r="B42" s="89">
        <f>Gradesheet!C46</f>
        <v>0</v>
      </c>
      <c r="C42" s="87" t="e">
        <f>IF(VLOOKUP(A42,#REF!,3,FALSE)="", "X",IF(VLOOKUP(A42,#REF!,3,FALSE)&gt;50,"Y","N"))</f>
        <v>#REF!</v>
      </c>
      <c r="D42" s="87" t="e">
        <f>IF(VLOOKUP(A42,#REF!,4,FALSE)= "", "X",IF(VLOOKUP(A42,#REF!,4,FALSE)&gt;50,"Y","N"))</f>
        <v>#REF!</v>
      </c>
      <c r="E42" s="87" t="e">
        <f>IF(VLOOKUP(A42,#REF!,5,FALSE)= "", "X",IF(VLOOKUP(A42,#REF!,5,FALSE)&gt;50,"Y","N"))</f>
        <v>#REF!</v>
      </c>
      <c r="F42" s="87" t="e">
        <f>IF(VLOOKUP(A42,#REF!,6,FALSE)= "", "X",IF(VLOOKUP(A42,#REF!,6,FALSE)&gt;50,"Y","N"))</f>
        <v>#REF!</v>
      </c>
      <c r="G42" s="87" t="e">
        <f>IF(VLOOKUP(A42,#REF!,7,FALSE)= "", "X",IF(VLOOKUP(A42,#REF!,7,FALSE)&gt;50,"Y","N"))</f>
        <v>#REF!</v>
      </c>
      <c r="H42" s="87" t="e">
        <f>IF(VLOOKUP(A42,#REF!,8,FALSE)= "", "X",IF(VLOOKUP(A42,#REF!,8,FALSE)&gt;50,"Y","N"))</f>
        <v>#REF!</v>
      </c>
      <c r="I42" s="87" t="e">
        <f>IF(VLOOKUP(A42,#REF!,9,FALSE)= "", "X",IF(VLOOKUP(A42,#REF!,9,FALSE)&gt;50,"Y","N"))</f>
        <v>#REF!</v>
      </c>
      <c r="J42" s="87" t="e">
        <f>IF(VLOOKUP(A42,#REF!,10,FALSE)= "", "X",IF(VLOOKUP(A42,#REF!,10,FALSE)&gt;50,"Y","N"))</f>
        <v>#REF!</v>
      </c>
      <c r="K42" s="87" t="e">
        <f>IF(VLOOKUP(A42,#REF!,11,FALSE)= "", "X",IF(VLOOKUP(A42,#REF!,11,FALSE)&gt;50,"Y","N"))</f>
        <v>#REF!</v>
      </c>
      <c r="L42" s="87" t="e">
        <f>IF(VLOOKUP(A42,#REF!,12,FALSE)= "", "X",IF(VLOOKUP(A42,#REF!,12,FALSE)&gt;50,"Y","N"))</f>
        <v>#REF!</v>
      </c>
      <c r="M42" s="87" t="e">
        <f>IF(VLOOKUP(A42,#REF!,13,FALSE)= "", "X",IF(VLOOKUP(A42,#REF!,13,FALSE)&gt;50,"Y","N"))</f>
        <v>#REF!</v>
      </c>
      <c r="N42" s="87" t="e">
        <f>IF(VLOOKUP(A42,#REF!,14,FALSE)= "", "X",IF(VLOOKUP(A42,#REF!,14,FALSE)&gt;50,"Y","N"))</f>
        <v>#REF!</v>
      </c>
    </row>
    <row r="43" spans="1:14" ht="16.5" thickBot="1" x14ac:dyDescent="0.3">
      <c r="A43" s="88">
        <f>(Gradesheet!B47)</f>
        <v>0</v>
      </c>
      <c r="B43" s="89">
        <f>Gradesheet!C47</f>
        <v>0</v>
      </c>
      <c r="C43" s="87" t="e">
        <f>IF(VLOOKUP(A43,#REF!,3,FALSE)="", "X",IF(VLOOKUP(A43,#REF!,3,FALSE)&gt;50,"Y","N"))</f>
        <v>#REF!</v>
      </c>
      <c r="D43" s="87" t="e">
        <f>IF(VLOOKUP(A43,#REF!,4,FALSE)= "", "X",IF(VLOOKUP(A43,#REF!,4,FALSE)&gt;50,"Y","N"))</f>
        <v>#REF!</v>
      </c>
      <c r="E43" s="87" t="e">
        <f>IF(VLOOKUP(A43,#REF!,5,FALSE)= "", "X",IF(VLOOKUP(A43,#REF!,5,FALSE)&gt;50,"Y","N"))</f>
        <v>#REF!</v>
      </c>
      <c r="F43" s="87" t="e">
        <f>IF(VLOOKUP(A43,#REF!,6,FALSE)= "", "X",IF(VLOOKUP(A43,#REF!,6,FALSE)&gt;50,"Y","N"))</f>
        <v>#REF!</v>
      </c>
      <c r="G43" s="87" t="e">
        <f>IF(VLOOKUP(A43,#REF!,7,FALSE)= "", "X",IF(VLOOKUP(A43,#REF!,7,FALSE)&gt;50,"Y","N"))</f>
        <v>#REF!</v>
      </c>
      <c r="H43" s="87" t="e">
        <f>IF(VLOOKUP(A43,#REF!,8,FALSE)= "", "X",IF(VLOOKUP(A43,#REF!,8,FALSE)&gt;50,"Y","N"))</f>
        <v>#REF!</v>
      </c>
      <c r="I43" s="87" t="e">
        <f>IF(VLOOKUP(A43,#REF!,9,FALSE)= "", "X",IF(VLOOKUP(A43,#REF!,9,FALSE)&gt;50,"Y","N"))</f>
        <v>#REF!</v>
      </c>
      <c r="J43" s="87" t="e">
        <f>IF(VLOOKUP(A43,#REF!,10,FALSE)= "", "X",IF(VLOOKUP(A43,#REF!,10,FALSE)&gt;50,"Y","N"))</f>
        <v>#REF!</v>
      </c>
      <c r="K43" s="87" t="e">
        <f>IF(VLOOKUP(A43,#REF!,11,FALSE)= "", "X",IF(VLOOKUP(A43,#REF!,11,FALSE)&gt;50,"Y","N"))</f>
        <v>#REF!</v>
      </c>
      <c r="L43" s="87" t="e">
        <f>IF(VLOOKUP(A43,#REF!,12,FALSE)= "", "X",IF(VLOOKUP(A43,#REF!,12,FALSE)&gt;50,"Y","N"))</f>
        <v>#REF!</v>
      </c>
      <c r="M43" s="87" t="e">
        <f>IF(VLOOKUP(A43,#REF!,13,FALSE)= "", "X",IF(VLOOKUP(A43,#REF!,13,FALSE)&gt;50,"Y","N"))</f>
        <v>#REF!</v>
      </c>
      <c r="N43" s="87" t="e">
        <f>IF(VLOOKUP(A43,#REF!,14,FALSE)= "", "X",IF(VLOOKUP(A43,#REF!,14,FALSE)&gt;50,"Y","N"))</f>
        <v>#REF!</v>
      </c>
    </row>
    <row r="44" spans="1:14" ht="16.5" thickBot="1" x14ac:dyDescent="0.3">
      <c r="A44" s="88">
        <f>(Gradesheet!B48)</f>
        <v>0</v>
      </c>
      <c r="B44" s="89">
        <f>Gradesheet!C48</f>
        <v>0</v>
      </c>
      <c r="C44" s="87" t="e">
        <f>IF(VLOOKUP(A44,#REF!,3,FALSE)="", "X",IF(VLOOKUP(A44,#REF!,3,FALSE)&gt;50,"Y","N"))</f>
        <v>#REF!</v>
      </c>
      <c r="D44" s="87" t="e">
        <f>IF(VLOOKUP(A44,#REF!,4,FALSE)= "", "X",IF(VLOOKUP(A44,#REF!,4,FALSE)&gt;50,"Y","N"))</f>
        <v>#REF!</v>
      </c>
      <c r="E44" s="87" t="e">
        <f>IF(VLOOKUP(A44,#REF!,5,FALSE)= "", "X",IF(VLOOKUP(A44,#REF!,5,FALSE)&gt;50,"Y","N"))</f>
        <v>#REF!</v>
      </c>
      <c r="F44" s="87" t="e">
        <f>IF(VLOOKUP(A44,#REF!,6,FALSE)= "", "X",IF(VLOOKUP(A44,#REF!,6,FALSE)&gt;50,"Y","N"))</f>
        <v>#REF!</v>
      </c>
      <c r="G44" s="87" t="e">
        <f>IF(VLOOKUP(A44,#REF!,7,FALSE)= "", "X",IF(VLOOKUP(A44,#REF!,7,FALSE)&gt;50,"Y","N"))</f>
        <v>#REF!</v>
      </c>
      <c r="H44" s="87" t="e">
        <f>IF(VLOOKUP(A44,#REF!,8,FALSE)= "", "X",IF(VLOOKUP(A44,#REF!,8,FALSE)&gt;50,"Y","N"))</f>
        <v>#REF!</v>
      </c>
      <c r="I44" s="87" t="e">
        <f>IF(VLOOKUP(A44,#REF!,9,FALSE)= "", "X",IF(VLOOKUP(A44,#REF!,9,FALSE)&gt;50,"Y","N"))</f>
        <v>#REF!</v>
      </c>
      <c r="J44" s="87" t="e">
        <f>IF(VLOOKUP(A44,#REF!,10,FALSE)= "", "X",IF(VLOOKUP(A44,#REF!,10,FALSE)&gt;50,"Y","N"))</f>
        <v>#REF!</v>
      </c>
      <c r="K44" s="87" t="e">
        <f>IF(VLOOKUP(A44,#REF!,11,FALSE)= "", "X",IF(VLOOKUP(A44,#REF!,11,FALSE)&gt;50,"Y","N"))</f>
        <v>#REF!</v>
      </c>
      <c r="L44" s="87" t="e">
        <f>IF(VLOOKUP(A44,#REF!,12,FALSE)= "", "X",IF(VLOOKUP(A44,#REF!,12,FALSE)&gt;50,"Y","N"))</f>
        <v>#REF!</v>
      </c>
      <c r="M44" s="87" t="e">
        <f>IF(VLOOKUP(A44,#REF!,13,FALSE)= "", "X",IF(VLOOKUP(A44,#REF!,13,FALSE)&gt;50,"Y","N"))</f>
        <v>#REF!</v>
      </c>
      <c r="N44" s="87" t="e">
        <f>IF(VLOOKUP(A44,#REF!,14,FALSE)= "", "X",IF(VLOOKUP(A44,#REF!,14,FALSE)&gt;50,"Y","N"))</f>
        <v>#REF!</v>
      </c>
    </row>
    <row r="45" spans="1:14" ht="16.5" thickBot="1" x14ac:dyDescent="0.3">
      <c r="A45" s="88">
        <f>(Gradesheet!B49)</f>
        <v>0</v>
      </c>
      <c r="B45" s="89">
        <f>Gradesheet!C49</f>
        <v>0</v>
      </c>
      <c r="C45" s="87" t="e">
        <f>IF(VLOOKUP(A45,#REF!,3,FALSE)="", "X",IF(VLOOKUP(A45,#REF!,3,FALSE)&gt;50,"Y","N"))</f>
        <v>#REF!</v>
      </c>
      <c r="D45" s="87" t="e">
        <f>IF(VLOOKUP(A45,#REF!,4,FALSE)= "", "X",IF(VLOOKUP(A45,#REF!,4,FALSE)&gt;50,"Y","N"))</f>
        <v>#REF!</v>
      </c>
      <c r="E45" s="87" t="e">
        <f>IF(VLOOKUP(A45,#REF!,5,FALSE)= "", "X",IF(VLOOKUP(A45,#REF!,5,FALSE)&gt;50,"Y","N"))</f>
        <v>#REF!</v>
      </c>
      <c r="F45" s="87" t="e">
        <f>IF(VLOOKUP(A45,#REF!,6,FALSE)= "", "X",IF(VLOOKUP(A45,#REF!,6,FALSE)&gt;50,"Y","N"))</f>
        <v>#REF!</v>
      </c>
      <c r="G45" s="87" t="e">
        <f>IF(VLOOKUP(A45,#REF!,7,FALSE)= "", "X",IF(VLOOKUP(A45,#REF!,7,FALSE)&gt;50,"Y","N"))</f>
        <v>#REF!</v>
      </c>
      <c r="H45" s="87" t="e">
        <f>IF(VLOOKUP(A45,#REF!,8,FALSE)= "", "X",IF(VLOOKUP(A45,#REF!,8,FALSE)&gt;50,"Y","N"))</f>
        <v>#REF!</v>
      </c>
      <c r="I45" s="87" t="e">
        <f>IF(VLOOKUP(A45,#REF!,9,FALSE)= "", "X",IF(VLOOKUP(A45,#REF!,9,FALSE)&gt;50,"Y","N"))</f>
        <v>#REF!</v>
      </c>
      <c r="J45" s="87" t="e">
        <f>IF(VLOOKUP(A45,#REF!,10,FALSE)= "", "X",IF(VLOOKUP(A45,#REF!,10,FALSE)&gt;50,"Y","N"))</f>
        <v>#REF!</v>
      </c>
      <c r="K45" s="87" t="e">
        <f>IF(VLOOKUP(A45,#REF!,11,FALSE)= "", "X",IF(VLOOKUP(A45,#REF!,11,FALSE)&gt;50,"Y","N"))</f>
        <v>#REF!</v>
      </c>
      <c r="L45" s="87" t="e">
        <f>IF(VLOOKUP(A45,#REF!,12,FALSE)= "", "X",IF(VLOOKUP(A45,#REF!,12,FALSE)&gt;50,"Y","N"))</f>
        <v>#REF!</v>
      </c>
      <c r="M45" s="87" t="e">
        <f>IF(VLOOKUP(A45,#REF!,13,FALSE)= "", "X",IF(VLOOKUP(A45,#REF!,13,FALSE)&gt;50,"Y","N"))</f>
        <v>#REF!</v>
      </c>
      <c r="N45" s="87" t="e">
        <f>IF(VLOOKUP(A45,#REF!,14,FALSE)= "", "X",IF(VLOOKUP(A45,#REF!,14,FALSE)&gt;50,"Y","N"))</f>
        <v>#REF!</v>
      </c>
    </row>
    <row r="46" spans="1:14" ht="16.5" thickBot="1" x14ac:dyDescent="0.3">
      <c r="A46" s="88">
        <f>(Gradesheet!B50)</f>
        <v>0</v>
      </c>
      <c r="B46" s="89">
        <f>Gradesheet!C50</f>
        <v>0</v>
      </c>
      <c r="C46" s="87" t="e">
        <f>IF(VLOOKUP(A46,#REF!,3,FALSE)="", "X",IF(VLOOKUP(A46,#REF!,3,FALSE)&gt;50,"Y","N"))</f>
        <v>#REF!</v>
      </c>
      <c r="D46" s="87" t="e">
        <f>IF(VLOOKUP(A46,#REF!,4,FALSE)= "", "X",IF(VLOOKUP(A46,#REF!,4,FALSE)&gt;50,"Y","N"))</f>
        <v>#REF!</v>
      </c>
      <c r="E46" s="87" t="e">
        <f>IF(VLOOKUP(A46,#REF!,5,FALSE)= "", "X",IF(VLOOKUP(A46,#REF!,5,FALSE)&gt;50,"Y","N"))</f>
        <v>#REF!</v>
      </c>
      <c r="F46" s="87" t="e">
        <f>IF(VLOOKUP(A46,#REF!,6,FALSE)= "", "X",IF(VLOOKUP(A46,#REF!,6,FALSE)&gt;50,"Y","N"))</f>
        <v>#REF!</v>
      </c>
      <c r="G46" s="87" t="e">
        <f>IF(VLOOKUP(A46,#REF!,7,FALSE)= "", "X",IF(VLOOKUP(A46,#REF!,7,FALSE)&gt;50,"Y","N"))</f>
        <v>#REF!</v>
      </c>
      <c r="H46" s="87" t="e">
        <f>IF(VLOOKUP(A46,#REF!,8,FALSE)= "", "X",IF(VLOOKUP(A46,#REF!,8,FALSE)&gt;50,"Y","N"))</f>
        <v>#REF!</v>
      </c>
      <c r="I46" s="87" t="e">
        <f>IF(VLOOKUP(A46,#REF!,9,FALSE)= "", "X",IF(VLOOKUP(A46,#REF!,9,FALSE)&gt;50,"Y","N"))</f>
        <v>#REF!</v>
      </c>
      <c r="J46" s="87" t="e">
        <f>IF(VLOOKUP(A46,#REF!,10,FALSE)= "", "X",IF(VLOOKUP(A46,#REF!,10,FALSE)&gt;50,"Y","N"))</f>
        <v>#REF!</v>
      </c>
      <c r="K46" s="87" t="e">
        <f>IF(VLOOKUP(A46,#REF!,11,FALSE)= "", "X",IF(VLOOKUP(A46,#REF!,11,FALSE)&gt;50,"Y","N"))</f>
        <v>#REF!</v>
      </c>
      <c r="L46" s="87" t="e">
        <f>IF(VLOOKUP(A46,#REF!,12,FALSE)= "", "X",IF(VLOOKUP(A46,#REF!,12,FALSE)&gt;50,"Y","N"))</f>
        <v>#REF!</v>
      </c>
      <c r="M46" s="87" t="e">
        <f>IF(VLOOKUP(A46,#REF!,13,FALSE)= "", "X",IF(VLOOKUP(A46,#REF!,13,FALSE)&gt;50,"Y","N"))</f>
        <v>#REF!</v>
      </c>
      <c r="N46" s="87" t="e">
        <f>IF(VLOOKUP(A46,#REF!,14,FALSE)= "", "X",IF(VLOOKUP(A46,#REF!,14,FALSE)&gt;50,"Y","N"))</f>
        <v>#REF!</v>
      </c>
    </row>
    <row r="47" spans="1:14" ht="16.5" thickBot="1" x14ac:dyDescent="0.3">
      <c r="A47" s="88">
        <f>(Gradesheet!B51)</f>
        <v>0</v>
      </c>
      <c r="B47" s="89">
        <f>Gradesheet!C51</f>
        <v>0</v>
      </c>
      <c r="C47" s="87" t="e">
        <f>IF(VLOOKUP(A47,#REF!,3,FALSE)="", "X",IF(VLOOKUP(A47,#REF!,3,FALSE)&gt;50,"Y","N"))</f>
        <v>#REF!</v>
      </c>
      <c r="D47" s="87" t="e">
        <f>IF(VLOOKUP(A47,#REF!,4,FALSE)= "", "X",IF(VLOOKUP(A47,#REF!,4,FALSE)&gt;50,"Y","N"))</f>
        <v>#REF!</v>
      </c>
      <c r="E47" s="87" t="e">
        <f>IF(VLOOKUP(A47,#REF!,5,FALSE)= "", "X",IF(VLOOKUP(A47,#REF!,5,FALSE)&gt;50,"Y","N"))</f>
        <v>#REF!</v>
      </c>
      <c r="F47" s="87" t="e">
        <f>IF(VLOOKUP(A47,#REF!,6,FALSE)= "", "X",IF(VLOOKUP(A47,#REF!,6,FALSE)&gt;50,"Y","N"))</f>
        <v>#REF!</v>
      </c>
      <c r="G47" s="87" t="e">
        <f>IF(VLOOKUP(A47,#REF!,7,FALSE)= "", "X",IF(VLOOKUP(A47,#REF!,7,FALSE)&gt;50,"Y","N"))</f>
        <v>#REF!</v>
      </c>
      <c r="H47" s="87" t="e">
        <f>IF(VLOOKUP(A47,#REF!,8,FALSE)= "", "X",IF(VLOOKUP(A47,#REF!,8,FALSE)&gt;50,"Y","N"))</f>
        <v>#REF!</v>
      </c>
      <c r="I47" s="87" t="e">
        <f>IF(VLOOKUP(A47,#REF!,9,FALSE)= "", "X",IF(VLOOKUP(A47,#REF!,9,FALSE)&gt;50,"Y","N"))</f>
        <v>#REF!</v>
      </c>
      <c r="J47" s="87" t="e">
        <f>IF(VLOOKUP(A47,#REF!,10,FALSE)= "", "X",IF(VLOOKUP(A47,#REF!,10,FALSE)&gt;50,"Y","N"))</f>
        <v>#REF!</v>
      </c>
      <c r="K47" s="87" t="e">
        <f>IF(VLOOKUP(A47,#REF!,11,FALSE)= "", "X",IF(VLOOKUP(A47,#REF!,11,FALSE)&gt;50,"Y","N"))</f>
        <v>#REF!</v>
      </c>
      <c r="L47" s="87" t="e">
        <f>IF(VLOOKUP(A47,#REF!,12,FALSE)= "", "X",IF(VLOOKUP(A47,#REF!,12,FALSE)&gt;50,"Y","N"))</f>
        <v>#REF!</v>
      </c>
      <c r="M47" s="87" t="e">
        <f>IF(VLOOKUP(A47,#REF!,13,FALSE)= "", "X",IF(VLOOKUP(A47,#REF!,13,FALSE)&gt;50,"Y","N"))</f>
        <v>#REF!</v>
      </c>
      <c r="N47" s="87" t="e">
        <f>IF(VLOOKUP(A47,#REF!,14,FALSE)= "", "X",IF(VLOOKUP(A47,#REF!,14,FALSE)&gt;50,"Y","N"))</f>
        <v>#REF!</v>
      </c>
    </row>
    <row r="48" spans="1:14" ht="16.5" thickBot="1" x14ac:dyDescent="0.3">
      <c r="A48" s="88">
        <f>(Gradesheet!B52)</f>
        <v>0</v>
      </c>
      <c r="B48" s="89">
        <f>Gradesheet!C52</f>
        <v>0</v>
      </c>
      <c r="C48" s="87" t="e">
        <f>IF(VLOOKUP(A48,#REF!,3,FALSE)="", "X",IF(VLOOKUP(A48,#REF!,3,FALSE)&gt;50,"Y","N"))</f>
        <v>#REF!</v>
      </c>
      <c r="D48" s="87" t="e">
        <f>IF(VLOOKUP(A48,#REF!,4,FALSE)= "", "X",IF(VLOOKUP(A48,#REF!,4,FALSE)&gt;50,"Y","N"))</f>
        <v>#REF!</v>
      </c>
      <c r="E48" s="87" t="e">
        <f>IF(VLOOKUP(A48,#REF!,5,FALSE)= "", "X",IF(VLOOKUP(A48,#REF!,5,FALSE)&gt;50,"Y","N"))</f>
        <v>#REF!</v>
      </c>
      <c r="F48" s="87" t="e">
        <f>IF(VLOOKUP(A48,#REF!,6,FALSE)= "", "X",IF(VLOOKUP(A48,#REF!,6,FALSE)&gt;50,"Y","N"))</f>
        <v>#REF!</v>
      </c>
      <c r="G48" s="87" t="e">
        <f>IF(VLOOKUP(A48,#REF!,7,FALSE)= "", "X",IF(VLOOKUP(A48,#REF!,7,FALSE)&gt;50,"Y","N"))</f>
        <v>#REF!</v>
      </c>
      <c r="H48" s="87" t="e">
        <f>IF(VLOOKUP(A48,#REF!,8,FALSE)= "", "X",IF(VLOOKUP(A48,#REF!,8,FALSE)&gt;50,"Y","N"))</f>
        <v>#REF!</v>
      </c>
      <c r="I48" s="87" t="e">
        <f>IF(VLOOKUP(A48,#REF!,9,FALSE)= "", "X",IF(VLOOKUP(A48,#REF!,9,FALSE)&gt;50,"Y","N"))</f>
        <v>#REF!</v>
      </c>
      <c r="J48" s="87" t="e">
        <f>IF(VLOOKUP(A48,#REF!,10,FALSE)= "", "X",IF(VLOOKUP(A48,#REF!,10,FALSE)&gt;50,"Y","N"))</f>
        <v>#REF!</v>
      </c>
      <c r="K48" s="87" t="e">
        <f>IF(VLOOKUP(A48,#REF!,11,FALSE)= "", "X",IF(VLOOKUP(A48,#REF!,11,FALSE)&gt;50,"Y","N"))</f>
        <v>#REF!</v>
      </c>
      <c r="L48" s="87" t="e">
        <f>IF(VLOOKUP(A48,#REF!,12,FALSE)= "", "X",IF(VLOOKUP(A48,#REF!,12,FALSE)&gt;50,"Y","N"))</f>
        <v>#REF!</v>
      </c>
      <c r="M48" s="87" t="e">
        <f>IF(VLOOKUP(A48,#REF!,13,FALSE)= "", "X",IF(VLOOKUP(A48,#REF!,13,FALSE)&gt;50,"Y","N"))</f>
        <v>#REF!</v>
      </c>
      <c r="N48" s="87" t="e">
        <f>IF(VLOOKUP(A48,#REF!,14,FALSE)= "", "X",IF(VLOOKUP(A48,#REF!,14,FALSE)&gt;50,"Y","N"))</f>
        <v>#REF!</v>
      </c>
    </row>
    <row r="49" spans="1:2" ht="15.75" thickBot="1" x14ac:dyDescent="0.3">
      <c r="A49" s="79"/>
      <c r="B49" s="80"/>
    </row>
    <row r="50" spans="1:2" ht="15.75" thickBot="1" x14ac:dyDescent="0.3">
      <c r="A50" s="79"/>
      <c r="B50" s="80"/>
    </row>
    <row r="51" spans="1:2" ht="15.75" thickBot="1" x14ac:dyDescent="0.3">
      <c r="A51" s="79"/>
      <c r="B51" s="80"/>
    </row>
    <row r="52" spans="1:2" ht="15.75" thickBot="1" x14ac:dyDescent="0.3">
      <c r="A52" s="79"/>
      <c r="B52" s="80"/>
    </row>
    <row r="53" spans="1:2" ht="15.75" thickBot="1" x14ac:dyDescent="0.3">
      <c r="A53" s="79"/>
      <c r="B53" s="80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3" tint="0.39997558519241921"/>
  </sheetPr>
  <dimension ref="A2:I18"/>
  <sheetViews>
    <sheetView workbookViewId="0">
      <selection activeCell="J11" sqref="J11"/>
    </sheetView>
  </sheetViews>
  <sheetFormatPr defaultRowHeight="15" x14ac:dyDescent="0.25"/>
  <cols>
    <col min="2" max="2" width="14.140625" customWidth="1"/>
    <col min="9" max="9" width="22.28515625" customWidth="1"/>
  </cols>
  <sheetData>
    <row r="2" spans="1:9" x14ac:dyDescent="0.2">
      <c r="A2" s="286" t="s">
        <v>103</v>
      </c>
      <c r="B2" s="287"/>
      <c r="C2" s="287"/>
      <c r="D2" s="287"/>
      <c r="E2" s="287"/>
      <c r="F2" s="287"/>
      <c r="G2" s="287"/>
      <c r="H2" s="287"/>
      <c r="I2" s="288"/>
    </row>
    <row r="3" spans="1:9" x14ac:dyDescent="0.2">
      <c r="A3" s="74"/>
      <c r="B3" s="75"/>
      <c r="C3" s="76"/>
      <c r="D3" s="75"/>
      <c r="E3" s="75"/>
      <c r="F3" s="75"/>
      <c r="G3" s="75"/>
      <c r="H3" s="75"/>
      <c r="I3" s="77"/>
    </row>
    <row r="4" spans="1:9" x14ac:dyDescent="0.2">
      <c r="A4" s="285" t="s">
        <v>104</v>
      </c>
      <c r="B4" s="285"/>
      <c r="C4" s="285" t="s">
        <v>105</v>
      </c>
      <c r="D4" s="285"/>
      <c r="E4" s="285"/>
      <c r="F4" s="285"/>
      <c r="G4" s="285"/>
      <c r="H4" s="285"/>
      <c r="I4" s="285"/>
    </row>
    <row r="5" spans="1:9" x14ac:dyDescent="0.2">
      <c r="A5" s="301"/>
      <c r="B5" s="282"/>
      <c r="C5" s="282"/>
      <c r="D5" s="282"/>
      <c r="E5" s="282"/>
      <c r="F5" s="282"/>
      <c r="G5" s="282"/>
      <c r="H5" s="282"/>
      <c r="I5" s="283"/>
    </row>
    <row r="6" spans="1:9" x14ac:dyDescent="0.2">
      <c r="A6" s="302" t="s">
        <v>164</v>
      </c>
      <c r="B6" s="302"/>
      <c r="C6" s="284" t="s">
        <v>165</v>
      </c>
      <c r="D6" s="284"/>
      <c r="E6" s="284"/>
      <c r="F6" s="284"/>
      <c r="G6" s="284"/>
      <c r="H6" s="284"/>
      <c r="I6" s="284"/>
    </row>
    <row r="7" spans="1:9" x14ac:dyDescent="0.2">
      <c r="A7" s="294" t="s">
        <v>124</v>
      </c>
      <c r="B7" s="294"/>
      <c r="C7" s="305" t="s">
        <v>106</v>
      </c>
      <c r="D7" s="305"/>
      <c r="E7" s="305"/>
      <c r="F7" s="305"/>
      <c r="G7" s="305"/>
      <c r="H7" s="305"/>
      <c r="I7" s="305"/>
    </row>
    <row r="8" spans="1:9" x14ac:dyDescent="0.2">
      <c r="A8" s="291" t="s">
        <v>151</v>
      </c>
      <c r="B8" s="291"/>
      <c r="C8" s="306" t="s">
        <v>166</v>
      </c>
      <c r="D8" s="306"/>
      <c r="E8" s="306"/>
      <c r="F8" s="306"/>
      <c r="G8" s="306"/>
      <c r="H8" s="306"/>
      <c r="I8" s="306"/>
    </row>
    <row r="9" spans="1:9" x14ac:dyDescent="0.2">
      <c r="A9" s="289" t="s">
        <v>162</v>
      </c>
      <c r="B9" s="290"/>
      <c r="C9" s="305" t="s">
        <v>163</v>
      </c>
      <c r="D9" s="305"/>
      <c r="E9" s="305"/>
      <c r="F9" s="305"/>
      <c r="G9" s="305"/>
      <c r="H9" s="305"/>
      <c r="I9" s="305"/>
    </row>
    <row r="10" spans="1:9" x14ac:dyDescent="0.2">
      <c r="A10" s="291" t="s">
        <v>137</v>
      </c>
      <c r="B10" s="291"/>
      <c r="C10" s="306" t="s">
        <v>167</v>
      </c>
      <c r="D10" s="306"/>
      <c r="E10" s="306"/>
      <c r="F10" s="306"/>
      <c r="G10" s="306"/>
      <c r="H10" s="306"/>
      <c r="I10" s="306"/>
    </row>
    <row r="11" spans="1:9" x14ac:dyDescent="0.2">
      <c r="A11" s="292" t="b">
        <v>1</v>
      </c>
      <c r="B11" s="292"/>
      <c r="C11" s="307" t="s">
        <v>169</v>
      </c>
      <c r="D11" s="307"/>
      <c r="E11" s="307"/>
      <c r="F11" s="307"/>
      <c r="G11" s="307"/>
      <c r="H11" s="307"/>
      <c r="I11" s="307"/>
    </row>
    <row r="12" spans="1:9" x14ac:dyDescent="0.2">
      <c r="A12" s="293" t="b">
        <v>0</v>
      </c>
      <c r="B12" s="293"/>
      <c r="C12" s="307" t="s">
        <v>170</v>
      </c>
      <c r="D12" s="307"/>
      <c r="E12" s="307"/>
      <c r="F12" s="307"/>
      <c r="G12" s="307"/>
      <c r="H12" s="307"/>
      <c r="I12" s="307"/>
    </row>
    <row r="13" spans="1:9" x14ac:dyDescent="0.2">
      <c r="A13" s="292" t="s">
        <v>171</v>
      </c>
      <c r="B13" s="292"/>
      <c r="C13" s="307" t="s">
        <v>172</v>
      </c>
      <c r="D13" s="307"/>
      <c r="E13" s="307"/>
      <c r="F13" s="307"/>
      <c r="G13" s="307"/>
      <c r="H13" s="307"/>
      <c r="I13" s="307"/>
    </row>
    <row r="14" spans="1:9" x14ac:dyDescent="0.2">
      <c r="A14" s="297"/>
      <c r="B14" s="298"/>
      <c r="C14" s="299"/>
      <c r="D14" s="300"/>
      <c r="E14" s="300"/>
      <c r="F14" s="300"/>
      <c r="G14" s="300"/>
      <c r="H14" s="300"/>
      <c r="I14" s="300"/>
    </row>
    <row r="15" spans="1:9" x14ac:dyDescent="0.2">
      <c r="A15" s="303"/>
      <c r="B15" s="304"/>
      <c r="C15" s="295"/>
      <c r="D15" s="296"/>
      <c r="E15" s="296"/>
      <c r="F15" s="296"/>
      <c r="G15" s="296"/>
      <c r="H15" s="296"/>
      <c r="I15" s="296"/>
    </row>
    <row r="16" spans="1:9" x14ac:dyDescent="0.2">
      <c r="A16" s="297"/>
      <c r="B16" s="298"/>
      <c r="C16" s="299"/>
      <c r="D16" s="300"/>
      <c r="E16" s="300"/>
      <c r="F16" s="300"/>
      <c r="G16" s="300"/>
      <c r="H16" s="300"/>
      <c r="I16" s="300"/>
    </row>
    <row r="17" spans="1:9" x14ac:dyDescent="0.2">
      <c r="A17" s="304"/>
      <c r="B17" s="304"/>
      <c r="C17" s="296"/>
      <c r="D17" s="296"/>
      <c r="E17" s="296"/>
      <c r="F17" s="296"/>
      <c r="G17" s="296"/>
      <c r="H17" s="296"/>
      <c r="I17" s="296"/>
    </row>
    <row r="18" spans="1:9" x14ac:dyDescent="0.2">
      <c r="A18" s="298"/>
      <c r="B18" s="298"/>
      <c r="C18" s="300"/>
      <c r="D18" s="300"/>
      <c r="E18" s="300"/>
      <c r="F18" s="300"/>
      <c r="G18" s="300"/>
      <c r="H18" s="300"/>
      <c r="I18" s="300"/>
    </row>
  </sheetData>
  <mergeCells count="31">
    <mergeCell ref="A17:B17"/>
    <mergeCell ref="A18:B18"/>
    <mergeCell ref="C17:I17"/>
    <mergeCell ref="C18:I18"/>
    <mergeCell ref="A13:B13"/>
    <mergeCell ref="A7:B7"/>
    <mergeCell ref="C15:I15"/>
    <mergeCell ref="A16:B16"/>
    <mergeCell ref="C16:I16"/>
    <mergeCell ref="A5:B5"/>
    <mergeCell ref="A6:B6"/>
    <mergeCell ref="A14:B14"/>
    <mergeCell ref="A15:B15"/>
    <mergeCell ref="C7:I7"/>
    <mergeCell ref="C8:I8"/>
    <mergeCell ref="C9:I9"/>
    <mergeCell ref="C10:I10"/>
    <mergeCell ref="C11:I11"/>
    <mergeCell ref="C12:I12"/>
    <mergeCell ref="C13:I13"/>
    <mergeCell ref="C14:I14"/>
    <mergeCell ref="A9:B9"/>
    <mergeCell ref="A10:B10"/>
    <mergeCell ref="A11:B11"/>
    <mergeCell ref="A12:B12"/>
    <mergeCell ref="A8:B8"/>
    <mergeCell ref="C5:I5"/>
    <mergeCell ref="C6:I6"/>
    <mergeCell ref="A4:B4"/>
    <mergeCell ref="C4:I4"/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Attendance</vt:lpstr>
      <vt:lpstr>Outline</vt:lpstr>
      <vt:lpstr>Gradesheet</vt:lpstr>
      <vt:lpstr>Examsheet</vt:lpstr>
      <vt:lpstr>Sheet1</vt:lpstr>
      <vt:lpstr>Abbreviations</vt:lpstr>
      <vt:lpstr>Gradesheet!Print_Area</vt:lpstr>
      <vt:lpstr>Examsheet!Print_Titles</vt:lpstr>
    </vt:vector>
  </TitlesOfParts>
  <Company>IQRA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Azam</dc:creator>
  <cp:lastModifiedBy>user</cp:lastModifiedBy>
  <cp:lastPrinted>2020-11-06T13:15:19Z</cp:lastPrinted>
  <dcterms:created xsi:type="dcterms:W3CDTF">2009-10-07T23:07:49Z</dcterms:created>
  <dcterms:modified xsi:type="dcterms:W3CDTF">2021-04-28T07:31:21Z</dcterms:modified>
</cp:coreProperties>
</file>